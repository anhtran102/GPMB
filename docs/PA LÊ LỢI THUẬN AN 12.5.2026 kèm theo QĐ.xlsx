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istrator\Desktop\Đường Lê Lợi\"/>
    </mc:Choice>
  </mc:AlternateContent>
  <bookViews>
    <workbookView xWindow="0" yWindow="0" windowWidth="28800" windowHeight="12330"/>
  </bookViews>
  <sheets>
    <sheet name="28 HỘ BT TÀI SẢN" sheetId="1" r:id="rId1"/>
    <sheet name="DANH SÁCH" sheetId="3" r:id="rId2"/>
    <sheet name="2 HỘ CÓ ĐẤT" sheetId="2" r:id="rId3"/>
  </sheets>
  <definedNames>
    <definedName name="_xlnm._FilterDatabase" localSheetId="0" hidden="1">'28 HỘ BT TÀI SẢN'!$A$1:$T$1058</definedName>
    <definedName name="_xlnm.Print_Area" localSheetId="0">'28 HỘ BT TÀI SẢN'!$A$1:$T$1079</definedName>
    <definedName name="_xlnm.Print_Titles" localSheetId="1">'DANH SÁCH'!$3:$3</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80" i="1" l="1"/>
  <c r="O267" i="1"/>
  <c r="O60" i="2" l="1"/>
  <c r="B45" i="1" l="1"/>
  <c r="B103" i="1" s="1"/>
  <c r="B154" i="1" s="1"/>
  <c r="B213" i="1" s="1"/>
  <c r="B243" i="1" s="1"/>
  <c r="B297" i="1" s="1"/>
  <c r="B329" i="1" s="1"/>
  <c r="B378" i="1" s="1"/>
  <c r="B404" i="1" s="1"/>
  <c r="B429" i="1" s="1"/>
  <c r="B461" i="1" s="1"/>
  <c r="B492" i="1" s="1"/>
  <c r="B534" i="1" s="1"/>
  <c r="B568" i="1" s="1"/>
  <c r="B608" i="1" s="1"/>
  <c r="A632" i="1" l="1"/>
  <c r="B663" i="1"/>
  <c r="B708" i="1" s="1"/>
  <c r="B764" i="1" s="1"/>
  <c r="B790" i="1" s="1"/>
  <c r="B826" i="1" s="1"/>
  <c r="B848" i="1" s="1"/>
  <c r="B875" i="1" s="1"/>
  <c r="B904" i="1" s="1"/>
  <c r="C85" i="2"/>
  <c r="C82" i="2"/>
  <c r="O76" i="2"/>
  <c r="O75" i="2"/>
  <c r="K75" i="2"/>
  <c r="P75" i="2" s="1"/>
  <c r="S75" i="2" s="1"/>
  <c r="I75" i="2"/>
  <c r="G75" i="2"/>
  <c r="O74" i="2"/>
  <c r="K74" i="2"/>
  <c r="P74" i="2" s="1"/>
  <c r="S74" i="2" s="1"/>
  <c r="I74" i="2"/>
  <c r="G74" i="2"/>
  <c r="O73" i="2"/>
  <c r="K73" i="2"/>
  <c r="P73" i="2" s="1"/>
  <c r="S73" i="2" s="1"/>
  <c r="I73" i="2"/>
  <c r="G73" i="2"/>
  <c r="O72" i="2"/>
  <c r="K72" i="2"/>
  <c r="P72" i="2" s="1"/>
  <c r="S72" i="2" s="1"/>
  <c r="I72" i="2"/>
  <c r="G72" i="2"/>
  <c r="O71" i="2"/>
  <c r="K71" i="2"/>
  <c r="P71" i="2" s="1"/>
  <c r="S71" i="2" s="1"/>
  <c r="I71" i="2"/>
  <c r="G71" i="2"/>
  <c r="O70" i="2"/>
  <c r="K70" i="2"/>
  <c r="P70" i="2" s="1"/>
  <c r="S70" i="2" s="1"/>
  <c r="I70" i="2"/>
  <c r="G70" i="2"/>
  <c r="O69" i="2"/>
  <c r="K69" i="2"/>
  <c r="P69" i="2" s="1"/>
  <c r="S69" i="2" s="1"/>
  <c r="I69" i="2"/>
  <c r="G69" i="2"/>
  <c r="O68" i="2"/>
  <c r="K68" i="2"/>
  <c r="P68" i="2" s="1"/>
  <c r="S68" i="2" s="1"/>
  <c r="I68" i="2"/>
  <c r="G68" i="2"/>
  <c r="O67" i="2"/>
  <c r="K67" i="2"/>
  <c r="P67" i="2" s="1"/>
  <c r="S67" i="2" s="1"/>
  <c r="I67" i="2"/>
  <c r="G67" i="2"/>
  <c r="O66" i="2"/>
  <c r="K66" i="2"/>
  <c r="P66" i="2" s="1"/>
  <c r="S66" i="2" s="1"/>
  <c r="I66" i="2"/>
  <c r="G66" i="2"/>
  <c r="O65" i="2"/>
  <c r="K65" i="2"/>
  <c r="P65" i="2" s="1"/>
  <c r="S65" i="2" s="1"/>
  <c r="I65" i="2"/>
  <c r="G65" i="2"/>
  <c r="O64" i="2"/>
  <c r="K64" i="2"/>
  <c r="P64" i="2" s="1"/>
  <c r="S64" i="2" s="1"/>
  <c r="I64" i="2"/>
  <c r="G64" i="2"/>
  <c r="O63" i="2"/>
  <c r="K63" i="2"/>
  <c r="P63" i="2" s="1"/>
  <c r="S63" i="2" s="1"/>
  <c r="I63" i="2"/>
  <c r="G63" i="2"/>
  <c r="O62" i="2"/>
  <c r="K62" i="2"/>
  <c r="P62" i="2" s="1"/>
  <c r="S62" i="2" s="1"/>
  <c r="I62" i="2"/>
  <c r="G62" i="2"/>
  <c r="O61" i="2"/>
  <c r="K61" i="2"/>
  <c r="P61" i="2" s="1"/>
  <c r="S61" i="2" s="1"/>
  <c r="I61" i="2"/>
  <c r="G61" i="2"/>
  <c r="M60" i="2"/>
  <c r="I60" i="2"/>
  <c r="K60" i="2" s="1"/>
  <c r="G60" i="2"/>
  <c r="O59" i="2"/>
  <c r="I59" i="2"/>
  <c r="K59" i="2" s="1"/>
  <c r="P59" i="2" s="1"/>
  <c r="S59" i="2" s="1"/>
  <c r="G59" i="2"/>
  <c r="O58" i="2"/>
  <c r="I58" i="2"/>
  <c r="K58" i="2" s="1"/>
  <c r="P58" i="2" s="1"/>
  <c r="S58" i="2" s="1"/>
  <c r="G58" i="2"/>
  <c r="O57" i="2"/>
  <c r="I57" i="2"/>
  <c r="K57" i="2" s="1"/>
  <c r="P57" i="2" s="1"/>
  <c r="S57" i="2" s="1"/>
  <c r="G57" i="2"/>
  <c r="O56" i="2"/>
  <c r="I56" i="2"/>
  <c r="K56" i="2" s="1"/>
  <c r="P56" i="2" s="1"/>
  <c r="S56" i="2" s="1"/>
  <c r="G56" i="2"/>
  <c r="S50" i="2"/>
  <c r="S51" i="2" s="1"/>
  <c r="C91" i="2" s="1"/>
  <c r="Q50" i="2"/>
  <c r="S47" i="2"/>
  <c r="R46" i="2"/>
  <c r="L46" i="2"/>
  <c r="J46" i="2"/>
  <c r="F46" i="2"/>
  <c r="I46" i="2" s="1"/>
  <c r="R45" i="2"/>
  <c r="K45" i="2"/>
  <c r="Q45" i="2" s="1"/>
  <c r="S45" i="2" s="1"/>
  <c r="I45" i="2"/>
  <c r="R44" i="2"/>
  <c r="Q44" i="2"/>
  <c r="I44" i="2"/>
  <c r="K44" i="2" s="1"/>
  <c r="L40" i="2"/>
  <c r="O27" i="2"/>
  <c r="K27" i="2"/>
  <c r="P27" i="2" s="1"/>
  <c r="S27" i="2" s="1"/>
  <c r="I27" i="2"/>
  <c r="O26" i="2"/>
  <c r="I26" i="2"/>
  <c r="K26" i="2" s="1"/>
  <c r="P26" i="2" s="1"/>
  <c r="S26" i="2" s="1"/>
  <c r="O25" i="2"/>
  <c r="K25" i="2"/>
  <c r="P25" i="2" s="1"/>
  <c r="S25" i="2" s="1"/>
  <c r="I25" i="2"/>
  <c r="O24" i="2"/>
  <c r="I24" i="2"/>
  <c r="K24" i="2" s="1"/>
  <c r="O23" i="2"/>
  <c r="K23" i="2"/>
  <c r="P23" i="2" s="1"/>
  <c r="S23" i="2" s="1"/>
  <c r="I23" i="2"/>
  <c r="O22" i="2"/>
  <c r="I22" i="2"/>
  <c r="K22" i="2" s="1"/>
  <c r="P22" i="2" s="1"/>
  <c r="S22" i="2" s="1"/>
  <c r="O21" i="2"/>
  <c r="K21" i="2"/>
  <c r="P21" i="2" s="1"/>
  <c r="S21" i="2" s="1"/>
  <c r="I21" i="2"/>
  <c r="O20" i="2"/>
  <c r="I20" i="2"/>
  <c r="K20" i="2" s="1"/>
  <c r="G20" i="2"/>
  <c r="R14" i="2"/>
  <c r="L14" i="2"/>
  <c r="J14" i="2"/>
  <c r="I14" i="2"/>
  <c r="F14" i="2"/>
  <c r="R13" i="2"/>
  <c r="K13" i="2"/>
  <c r="L9" i="2"/>
  <c r="B939" i="1" l="1"/>
  <c r="B1019" i="1"/>
  <c r="B976" i="1"/>
  <c r="K14" i="2"/>
  <c r="Q13" i="2"/>
  <c r="Q46" i="2"/>
  <c r="S44" i="2"/>
  <c r="S46" i="2" s="1"/>
  <c r="P20" i="2"/>
  <c r="S20" i="2" s="1"/>
  <c r="P24" i="2"/>
  <c r="S24" i="2" s="1"/>
  <c r="K46" i="2"/>
  <c r="C84" i="2"/>
  <c r="P60" i="2"/>
  <c r="S60" i="2" s="1"/>
  <c r="S76" i="2" s="1"/>
  <c r="S79" i="2" l="1"/>
  <c r="S52" i="2"/>
  <c r="S41" i="2"/>
  <c r="Q14" i="2"/>
  <c r="S13" i="2"/>
  <c r="S14" i="2" s="1"/>
  <c r="S10" i="2" s="1"/>
  <c r="S28" i="2"/>
  <c r="S31" i="2" l="1"/>
  <c r="S16" i="2"/>
  <c r="C89" i="2"/>
  <c r="C92" i="2"/>
  <c r="C88" i="2" l="1"/>
  <c r="C94" i="2" l="1"/>
  <c r="C86" i="2"/>
  <c r="O1045" i="1" l="1"/>
  <c r="I1045" i="1"/>
  <c r="K1045" i="1" s="1"/>
  <c r="P1045" i="1" s="1"/>
  <c r="S1045" i="1" s="1"/>
  <c r="G1045" i="1"/>
  <c r="O1044" i="1"/>
  <c r="I1044" i="1"/>
  <c r="K1044" i="1" s="1"/>
  <c r="G1044" i="1"/>
  <c r="O1043" i="1"/>
  <c r="I1043" i="1"/>
  <c r="K1043" i="1" s="1"/>
  <c r="P1043" i="1" s="1"/>
  <c r="S1043" i="1" s="1"/>
  <c r="G1043" i="1"/>
  <c r="O1042" i="1"/>
  <c r="I1042" i="1"/>
  <c r="K1042" i="1" s="1"/>
  <c r="G1042" i="1"/>
  <c r="O1041" i="1"/>
  <c r="I1041" i="1"/>
  <c r="K1041" i="1" s="1"/>
  <c r="P1041" i="1" s="1"/>
  <c r="S1041" i="1" s="1"/>
  <c r="G1041" i="1"/>
  <c r="O1040" i="1"/>
  <c r="I1040" i="1"/>
  <c r="K1040" i="1" s="1"/>
  <c r="G1040" i="1"/>
  <c r="O1039" i="1"/>
  <c r="I1039" i="1"/>
  <c r="K1039" i="1" s="1"/>
  <c r="P1039" i="1" s="1"/>
  <c r="S1039" i="1" s="1"/>
  <c r="G1039" i="1"/>
  <c r="O1038" i="1"/>
  <c r="I1038" i="1"/>
  <c r="K1038" i="1" s="1"/>
  <c r="G1038" i="1"/>
  <c r="O1037" i="1"/>
  <c r="I1037" i="1"/>
  <c r="K1037" i="1" s="1"/>
  <c r="P1037" i="1" s="1"/>
  <c r="S1037" i="1" s="1"/>
  <c r="G1037" i="1"/>
  <c r="O1035" i="1"/>
  <c r="I1035" i="1"/>
  <c r="K1035" i="1" s="1"/>
  <c r="G1035" i="1"/>
  <c r="R1029" i="1"/>
  <c r="K1029" i="1"/>
  <c r="Q1029" i="1" s="1"/>
  <c r="R1028" i="1"/>
  <c r="K1028" i="1"/>
  <c r="Q1028" i="1" s="1"/>
  <c r="N1024" i="1"/>
  <c r="M1024" i="1"/>
  <c r="J1024" i="1"/>
  <c r="G1024" i="1"/>
  <c r="D1024" i="1"/>
  <c r="O1011" i="1"/>
  <c r="I1011" i="1"/>
  <c r="K1011" i="1" s="1"/>
  <c r="G1011" i="1"/>
  <c r="M1010" i="1"/>
  <c r="O1010" i="1" s="1"/>
  <c r="I1010" i="1"/>
  <c r="K1010" i="1" s="1"/>
  <c r="P1010" i="1" s="1"/>
  <c r="S1010" i="1" s="1"/>
  <c r="G1010" i="1"/>
  <c r="O1009" i="1"/>
  <c r="I1009" i="1"/>
  <c r="K1009" i="1" s="1"/>
  <c r="G1009" i="1"/>
  <c r="O1008" i="1"/>
  <c r="I1008" i="1"/>
  <c r="K1008" i="1" s="1"/>
  <c r="P1008" i="1" s="1"/>
  <c r="S1008" i="1" s="1"/>
  <c r="G1008" i="1"/>
  <c r="O1007" i="1"/>
  <c r="I1007" i="1"/>
  <c r="K1007" i="1" s="1"/>
  <c r="G1007" i="1"/>
  <c r="O1006" i="1"/>
  <c r="I1006" i="1"/>
  <c r="K1006" i="1" s="1"/>
  <c r="P1006" i="1" s="1"/>
  <c r="S1006" i="1" s="1"/>
  <c r="G1006" i="1"/>
  <c r="O1005" i="1"/>
  <c r="I1005" i="1"/>
  <c r="K1005" i="1" s="1"/>
  <c r="G1005" i="1"/>
  <c r="O1004" i="1"/>
  <c r="I1004" i="1"/>
  <c r="K1004" i="1" s="1"/>
  <c r="P1004" i="1" s="1"/>
  <c r="S1004" i="1" s="1"/>
  <c r="G1004" i="1"/>
  <c r="O1003" i="1"/>
  <c r="I1003" i="1"/>
  <c r="K1003" i="1" s="1"/>
  <c r="G1003" i="1"/>
  <c r="O1002" i="1"/>
  <c r="I1002" i="1"/>
  <c r="K1002" i="1" s="1"/>
  <c r="P1002" i="1" s="1"/>
  <c r="S1002" i="1" s="1"/>
  <c r="G1002" i="1"/>
  <c r="O1001" i="1"/>
  <c r="I1001" i="1"/>
  <c r="K1001" i="1" s="1"/>
  <c r="G1001" i="1"/>
  <c r="O1000" i="1"/>
  <c r="I1000" i="1"/>
  <c r="K1000" i="1" s="1"/>
  <c r="P1000" i="1" s="1"/>
  <c r="S1000" i="1" s="1"/>
  <c r="G1000" i="1"/>
  <c r="N994" i="1"/>
  <c r="O994" i="1" s="1"/>
  <c r="L994" i="1"/>
  <c r="Q994" i="1" s="1"/>
  <c r="S994" i="1" s="1"/>
  <c r="S993" i="1" s="1"/>
  <c r="S992" i="1" s="1"/>
  <c r="J994" i="1"/>
  <c r="N991" i="1"/>
  <c r="L991" i="1"/>
  <c r="Q991" i="1" s="1"/>
  <c r="S991" i="1" s="1"/>
  <c r="J991" i="1"/>
  <c r="N990" i="1"/>
  <c r="L990" i="1"/>
  <c r="Q990" i="1" s="1"/>
  <c r="S990" i="1" s="1"/>
  <c r="J990" i="1"/>
  <c r="R985" i="1"/>
  <c r="K985" i="1"/>
  <c r="Q985" i="1" s="1"/>
  <c r="N981" i="1"/>
  <c r="J981" i="1"/>
  <c r="G981" i="1"/>
  <c r="D981" i="1"/>
  <c r="O968" i="1"/>
  <c r="I968" i="1"/>
  <c r="K968" i="1" s="1"/>
  <c r="P968" i="1" s="1"/>
  <c r="S968" i="1" s="1"/>
  <c r="G968" i="1"/>
  <c r="O967" i="1"/>
  <c r="I967" i="1"/>
  <c r="K967" i="1" s="1"/>
  <c r="G967" i="1"/>
  <c r="O966" i="1"/>
  <c r="I966" i="1"/>
  <c r="K966" i="1" s="1"/>
  <c r="P966" i="1" s="1"/>
  <c r="S966" i="1" s="1"/>
  <c r="G966" i="1"/>
  <c r="O965" i="1"/>
  <c r="I965" i="1"/>
  <c r="K965" i="1" s="1"/>
  <c r="G965" i="1"/>
  <c r="O964" i="1"/>
  <c r="I964" i="1"/>
  <c r="K964" i="1" s="1"/>
  <c r="P964" i="1" s="1"/>
  <c r="S964" i="1" s="1"/>
  <c r="G964" i="1"/>
  <c r="O963" i="1"/>
  <c r="I963" i="1"/>
  <c r="K963" i="1" s="1"/>
  <c r="G963" i="1"/>
  <c r="O962" i="1"/>
  <c r="I962" i="1"/>
  <c r="K962" i="1" s="1"/>
  <c r="P962" i="1" s="1"/>
  <c r="S962" i="1" s="1"/>
  <c r="G962" i="1"/>
  <c r="O961" i="1"/>
  <c r="I961" i="1"/>
  <c r="K961" i="1" s="1"/>
  <c r="G961" i="1"/>
  <c r="O960" i="1"/>
  <c r="I960" i="1"/>
  <c r="K960" i="1" s="1"/>
  <c r="P960" i="1" s="1"/>
  <c r="S960" i="1" s="1"/>
  <c r="G960" i="1"/>
  <c r="O959" i="1"/>
  <c r="I959" i="1"/>
  <c r="K959" i="1" s="1"/>
  <c r="G959" i="1"/>
  <c r="N953" i="1"/>
  <c r="L953" i="1"/>
  <c r="Q953" i="1" s="1"/>
  <c r="S953" i="1" s="1"/>
  <c r="J953" i="1"/>
  <c r="N952" i="1"/>
  <c r="L952" i="1"/>
  <c r="Q952" i="1" s="1"/>
  <c r="S952" i="1" s="1"/>
  <c r="J952" i="1"/>
  <c r="R948" i="1"/>
  <c r="K948" i="1"/>
  <c r="Q948" i="1" s="1"/>
  <c r="S948" i="1" s="1"/>
  <c r="J944" i="1"/>
  <c r="G944" i="1"/>
  <c r="F944" i="1"/>
  <c r="N944" i="1" s="1"/>
  <c r="O931" i="1"/>
  <c r="I931" i="1"/>
  <c r="K931" i="1" s="1"/>
  <c r="G931" i="1"/>
  <c r="O930" i="1"/>
  <c r="I930" i="1"/>
  <c r="K930" i="1" s="1"/>
  <c r="G930" i="1"/>
  <c r="O929" i="1"/>
  <c r="I929" i="1"/>
  <c r="K929" i="1" s="1"/>
  <c r="G929" i="1"/>
  <c r="O928" i="1"/>
  <c r="K928" i="1"/>
  <c r="G928" i="1"/>
  <c r="O927" i="1"/>
  <c r="I927" i="1"/>
  <c r="K927" i="1" s="1"/>
  <c r="G927" i="1"/>
  <c r="O926" i="1"/>
  <c r="I926" i="1"/>
  <c r="K926" i="1" s="1"/>
  <c r="G926" i="1"/>
  <c r="O925" i="1"/>
  <c r="I925" i="1"/>
  <c r="K925" i="1" s="1"/>
  <c r="G925" i="1"/>
  <c r="O923" i="1"/>
  <c r="I923" i="1"/>
  <c r="K923" i="1" s="1"/>
  <c r="G923" i="1"/>
  <c r="O922" i="1"/>
  <c r="I922" i="1"/>
  <c r="K922" i="1" s="1"/>
  <c r="G922" i="1"/>
  <c r="O921" i="1"/>
  <c r="I921" i="1"/>
  <c r="K921" i="1" s="1"/>
  <c r="G921" i="1"/>
  <c r="R914" i="1"/>
  <c r="K914" i="1"/>
  <c r="Q914" i="1" s="1"/>
  <c r="R913" i="1"/>
  <c r="K913" i="1"/>
  <c r="Q913" i="1" s="1"/>
  <c r="N909" i="1"/>
  <c r="J909" i="1"/>
  <c r="G909" i="1"/>
  <c r="D909" i="1"/>
  <c r="O896" i="1"/>
  <c r="I896" i="1"/>
  <c r="K896" i="1" s="1"/>
  <c r="G896" i="1"/>
  <c r="O895" i="1"/>
  <c r="I895" i="1"/>
  <c r="K895" i="1" s="1"/>
  <c r="P895" i="1" s="1"/>
  <c r="S895" i="1" s="1"/>
  <c r="G895" i="1"/>
  <c r="O894" i="1"/>
  <c r="I894" i="1"/>
  <c r="K894" i="1" s="1"/>
  <c r="G894" i="1"/>
  <c r="O893" i="1"/>
  <c r="I893" i="1"/>
  <c r="K893" i="1" s="1"/>
  <c r="P893" i="1" s="1"/>
  <c r="S893" i="1" s="1"/>
  <c r="G893" i="1"/>
  <c r="O892" i="1"/>
  <c r="I892" i="1"/>
  <c r="K892" i="1" s="1"/>
  <c r="G892" i="1"/>
  <c r="O891" i="1"/>
  <c r="I891" i="1"/>
  <c r="K891" i="1" s="1"/>
  <c r="P891" i="1" s="1"/>
  <c r="S891" i="1" s="1"/>
  <c r="G891" i="1"/>
  <c r="O890" i="1"/>
  <c r="I890" i="1"/>
  <c r="K890" i="1" s="1"/>
  <c r="G890" i="1"/>
  <c r="R884" i="1"/>
  <c r="K884" i="1"/>
  <c r="Q884" i="1" s="1"/>
  <c r="S884" i="1" s="1"/>
  <c r="N880" i="1"/>
  <c r="J880" i="1"/>
  <c r="G880" i="1"/>
  <c r="D880" i="1"/>
  <c r="O867" i="1"/>
  <c r="I867" i="1"/>
  <c r="K867" i="1" s="1"/>
  <c r="G867" i="1"/>
  <c r="O866" i="1"/>
  <c r="I866" i="1"/>
  <c r="K866" i="1" s="1"/>
  <c r="G866" i="1"/>
  <c r="R859" i="1"/>
  <c r="K859" i="1"/>
  <c r="Q859" i="1" s="1"/>
  <c r="R858" i="1"/>
  <c r="K858" i="1"/>
  <c r="Q858" i="1" s="1"/>
  <c r="R857" i="1"/>
  <c r="K857" i="1"/>
  <c r="Q857" i="1" s="1"/>
  <c r="L853" i="1"/>
  <c r="K853" i="1"/>
  <c r="J853" i="1" s="1"/>
  <c r="I853" i="1"/>
  <c r="H853" i="1"/>
  <c r="F853" i="1"/>
  <c r="E853" i="1"/>
  <c r="N839" i="1"/>
  <c r="L839" i="1"/>
  <c r="Q839" i="1" s="1"/>
  <c r="S839" i="1" s="1"/>
  <c r="S840" i="1" s="1"/>
  <c r="J839" i="1"/>
  <c r="R835" i="1"/>
  <c r="K835" i="1"/>
  <c r="Q835" i="1" s="1"/>
  <c r="S835" i="1" s="1"/>
  <c r="N831" i="1"/>
  <c r="J831" i="1"/>
  <c r="G831" i="1"/>
  <c r="D831" i="1"/>
  <c r="O818" i="1"/>
  <c r="I818" i="1"/>
  <c r="K818" i="1" s="1"/>
  <c r="P818" i="1" s="1"/>
  <c r="S818" i="1" s="1"/>
  <c r="G818" i="1"/>
  <c r="O817" i="1"/>
  <c r="I817" i="1"/>
  <c r="K817" i="1" s="1"/>
  <c r="O816" i="1"/>
  <c r="I816" i="1"/>
  <c r="K816" i="1" s="1"/>
  <c r="G816" i="1"/>
  <c r="O815" i="1"/>
  <c r="I815" i="1"/>
  <c r="K815" i="1" s="1"/>
  <c r="P815" i="1" s="1"/>
  <c r="S815" i="1" s="1"/>
  <c r="G815" i="1"/>
  <c r="O814" i="1"/>
  <c r="I814" i="1"/>
  <c r="K814" i="1" s="1"/>
  <c r="G814" i="1"/>
  <c r="O813" i="1"/>
  <c r="I813" i="1"/>
  <c r="K813" i="1" s="1"/>
  <c r="P813" i="1" s="1"/>
  <c r="S813" i="1" s="1"/>
  <c r="G813" i="1"/>
  <c r="O812" i="1"/>
  <c r="I812" i="1"/>
  <c r="K812" i="1" s="1"/>
  <c r="G812" i="1"/>
  <c r="O811" i="1"/>
  <c r="I811" i="1"/>
  <c r="K811" i="1" s="1"/>
  <c r="P811" i="1" s="1"/>
  <c r="S811" i="1" s="1"/>
  <c r="G811" i="1"/>
  <c r="O810" i="1"/>
  <c r="I810" i="1"/>
  <c r="K810" i="1" s="1"/>
  <c r="G810" i="1"/>
  <c r="O809" i="1"/>
  <c r="I809" i="1"/>
  <c r="K809" i="1" s="1"/>
  <c r="P809" i="1" s="1"/>
  <c r="S809" i="1" s="1"/>
  <c r="G809" i="1"/>
  <c r="N803" i="1"/>
  <c r="L803" i="1"/>
  <c r="Q803" i="1" s="1"/>
  <c r="S803" i="1" s="1"/>
  <c r="S804" i="1" s="1"/>
  <c r="S800" i="1" s="1"/>
  <c r="R799" i="1"/>
  <c r="K799" i="1"/>
  <c r="Q799" i="1" s="1"/>
  <c r="N795" i="1"/>
  <c r="J795" i="1"/>
  <c r="G795" i="1"/>
  <c r="D795" i="1"/>
  <c r="O782" i="1"/>
  <c r="I782" i="1"/>
  <c r="K782" i="1" s="1"/>
  <c r="P782" i="1" s="1"/>
  <c r="S782" i="1" s="1"/>
  <c r="G782" i="1"/>
  <c r="O781" i="1"/>
  <c r="I781" i="1"/>
  <c r="K781" i="1" s="1"/>
  <c r="G781" i="1"/>
  <c r="I780" i="1"/>
  <c r="K780" i="1" s="1"/>
  <c r="I779" i="1"/>
  <c r="K779" i="1" s="1"/>
  <c r="R773" i="1"/>
  <c r="K773" i="1"/>
  <c r="Q773" i="1" s="1"/>
  <c r="S773" i="1" s="1"/>
  <c r="J769" i="1"/>
  <c r="G769" i="1"/>
  <c r="F769" i="1"/>
  <c r="N769" i="1" s="1"/>
  <c r="O756" i="1"/>
  <c r="I756" i="1"/>
  <c r="K756" i="1" s="1"/>
  <c r="G756" i="1"/>
  <c r="O755" i="1"/>
  <c r="I755" i="1"/>
  <c r="K755" i="1" s="1"/>
  <c r="G755" i="1"/>
  <c r="O754" i="1"/>
  <c r="I754" i="1"/>
  <c r="K754" i="1" s="1"/>
  <c r="G754" i="1"/>
  <c r="O753" i="1"/>
  <c r="K753" i="1"/>
  <c r="G753" i="1"/>
  <c r="O752" i="1"/>
  <c r="I752" i="1"/>
  <c r="K752" i="1" s="1"/>
  <c r="G752" i="1"/>
  <c r="O751" i="1"/>
  <c r="I751" i="1"/>
  <c r="K751" i="1" s="1"/>
  <c r="G751" i="1"/>
  <c r="O750" i="1"/>
  <c r="I750" i="1"/>
  <c r="K750" i="1" s="1"/>
  <c r="G750" i="1"/>
  <c r="O749" i="1"/>
  <c r="I749" i="1"/>
  <c r="K749" i="1" s="1"/>
  <c r="G749" i="1"/>
  <c r="O748" i="1"/>
  <c r="I748" i="1"/>
  <c r="K748" i="1" s="1"/>
  <c r="G748" i="1"/>
  <c r="O747" i="1"/>
  <c r="I747" i="1"/>
  <c r="K747" i="1" s="1"/>
  <c r="G747" i="1"/>
  <c r="O746" i="1"/>
  <c r="I746" i="1"/>
  <c r="K746" i="1" s="1"/>
  <c r="G746" i="1"/>
  <c r="O745" i="1"/>
  <c r="I745" i="1"/>
  <c r="K745" i="1" s="1"/>
  <c r="G745" i="1"/>
  <c r="O744" i="1"/>
  <c r="I744" i="1"/>
  <c r="K744" i="1" s="1"/>
  <c r="G744" i="1"/>
  <c r="I742" i="1"/>
  <c r="K742" i="1" s="1"/>
  <c r="P742" i="1" s="1"/>
  <c r="S742" i="1" s="1"/>
  <c r="G742" i="1"/>
  <c r="O741" i="1"/>
  <c r="I741" i="1"/>
  <c r="K741" i="1" s="1"/>
  <c r="G741" i="1"/>
  <c r="O740" i="1"/>
  <c r="I740" i="1"/>
  <c r="K740" i="1" s="1"/>
  <c r="P740" i="1" s="1"/>
  <c r="S740" i="1" s="1"/>
  <c r="G740" i="1"/>
  <c r="O739" i="1"/>
  <c r="M739" i="1"/>
  <c r="K739" i="1"/>
  <c r="P739" i="1" s="1"/>
  <c r="S739" i="1" s="1"/>
  <c r="I739" i="1"/>
  <c r="G739" i="1"/>
  <c r="O738" i="1"/>
  <c r="K738" i="1"/>
  <c r="P738" i="1" s="1"/>
  <c r="S738" i="1" s="1"/>
  <c r="I738" i="1"/>
  <c r="G738" i="1"/>
  <c r="N731" i="1"/>
  <c r="L731" i="1"/>
  <c r="Q731" i="1" s="1"/>
  <c r="S731" i="1" s="1"/>
  <c r="N729" i="1"/>
  <c r="L729" i="1"/>
  <c r="J729" i="1"/>
  <c r="N726" i="1"/>
  <c r="L726" i="1"/>
  <c r="J726" i="1"/>
  <c r="N725" i="1"/>
  <c r="L725" i="1"/>
  <c r="J725" i="1"/>
  <c r="N724" i="1"/>
  <c r="L724" i="1"/>
  <c r="R718" i="1"/>
  <c r="K718" i="1"/>
  <c r="Q718" i="1" s="1"/>
  <c r="S718" i="1" s="1"/>
  <c r="R717" i="1"/>
  <c r="K717" i="1"/>
  <c r="Q717" i="1" s="1"/>
  <c r="J713" i="1"/>
  <c r="L713" i="1" s="1"/>
  <c r="N713" i="1" s="1"/>
  <c r="I713" i="1"/>
  <c r="G713" i="1" s="1"/>
  <c r="D713" i="1"/>
  <c r="O700" i="1"/>
  <c r="I700" i="1"/>
  <c r="K700" i="1" s="1"/>
  <c r="G700" i="1"/>
  <c r="O699" i="1"/>
  <c r="I699" i="1"/>
  <c r="K699" i="1" s="1"/>
  <c r="G699" i="1"/>
  <c r="O698" i="1"/>
  <c r="I698" i="1"/>
  <c r="K698" i="1" s="1"/>
  <c r="G698" i="1"/>
  <c r="O697" i="1"/>
  <c r="I697" i="1"/>
  <c r="K697" i="1" s="1"/>
  <c r="G697" i="1"/>
  <c r="O696" i="1"/>
  <c r="I696" i="1"/>
  <c r="K696" i="1" s="1"/>
  <c r="G696" i="1"/>
  <c r="O695" i="1"/>
  <c r="I695" i="1"/>
  <c r="K695" i="1" s="1"/>
  <c r="G695" i="1"/>
  <c r="O694" i="1"/>
  <c r="I694" i="1"/>
  <c r="K694" i="1" s="1"/>
  <c r="G694" i="1"/>
  <c r="O693" i="1"/>
  <c r="I693" i="1"/>
  <c r="K693" i="1" s="1"/>
  <c r="G693" i="1"/>
  <c r="O692" i="1"/>
  <c r="I692" i="1"/>
  <c r="K692" i="1" s="1"/>
  <c r="G692" i="1"/>
  <c r="N684" i="1"/>
  <c r="L684" i="1"/>
  <c r="J684" i="1"/>
  <c r="N681" i="1"/>
  <c r="L681" i="1"/>
  <c r="J681" i="1"/>
  <c r="N680" i="1"/>
  <c r="L680" i="1"/>
  <c r="J680" i="1"/>
  <c r="N679" i="1"/>
  <c r="L679" i="1"/>
  <c r="J679" i="1"/>
  <c r="N678" i="1"/>
  <c r="L678" i="1"/>
  <c r="N677" i="1"/>
  <c r="L677" i="1"/>
  <c r="Q677" i="1" s="1"/>
  <c r="S677" i="1" s="1"/>
  <c r="R672" i="1"/>
  <c r="K672" i="1"/>
  <c r="Q672" i="1" s="1"/>
  <c r="S672" i="1" s="1"/>
  <c r="L668" i="1"/>
  <c r="N668" i="1" s="1"/>
  <c r="G668" i="1"/>
  <c r="D668" i="1"/>
  <c r="M655" i="1"/>
  <c r="O655" i="1" s="1"/>
  <c r="I655" i="1"/>
  <c r="K655" i="1" s="1"/>
  <c r="G655" i="1"/>
  <c r="O654" i="1"/>
  <c r="I654" i="1"/>
  <c r="K654" i="1" s="1"/>
  <c r="P654" i="1" s="1"/>
  <c r="S654" i="1" s="1"/>
  <c r="G654" i="1"/>
  <c r="O653" i="1"/>
  <c r="I653" i="1"/>
  <c r="K653" i="1" s="1"/>
  <c r="G653" i="1"/>
  <c r="O652" i="1"/>
  <c r="I652" i="1"/>
  <c r="K652" i="1" s="1"/>
  <c r="P652" i="1" s="1"/>
  <c r="S652" i="1" s="1"/>
  <c r="G652" i="1"/>
  <c r="O651" i="1"/>
  <c r="I651" i="1"/>
  <c r="K651" i="1" s="1"/>
  <c r="G651" i="1"/>
  <c r="O650" i="1"/>
  <c r="I650" i="1"/>
  <c r="K650" i="1" s="1"/>
  <c r="P650" i="1" s="1"/>
  <c r="S650" i="1" s="1"/>
  <c r="G650" i="1"/>
  <c r="O649" i="1"/>
  <c r="I649" i="1"/>
  <c r="K649" i="1" s="1"/>
  <c r="G649" i="1"/>
  <c r="R641" i="1"/>
  <c r="K641" i="1"/>
  <c r="Q641" i="1" s="1"/>
  <c r="S641" i="1" s="1"/>
  <c r="L637" i="1"/>
  <c r="N637" i="1" s="1"/>
  <c r="G637" i="1"/>
  <c r="D637" i="1"/>
  <c r="O624" i="1"/>
  <c r="I624" i="1"/>
  <c r="K624" i="1" s="1"/>
  <c r="G624" i="1"/>
  <c r="O623" i="1"/>
  <c r="I623" i="1"/>
  <c r="K623" i="1" s="1"/>
  <c r="P623" i="1" s="1"/>
  <c r="S623" i="1" s="1"/>
  <c r="G623" i="1"/>
  <c r="R617" i="1"/>
  <c r="K617" i="1"/>
  <c r="Q617" i="1" s="1"/>
  <c r="L613" i="1"/>
  <c r="N613" i="1" s="1"/>
  <c r="G613" i="1"/>
  <c r="D613" i="1"/>
  <c r="O600" i="1"/>
  <c r="I600" i="1"/>
  <c r="K600" i="1" s="1"/>
  <c r="P600" i="1" s="1"/>
  <c r="S600" i="1" s="1"/>
  <c r="G600" i="1"/>
  <c r="O599" i="1"/>
  <c r="M599" i="1"/>
  <c r="K599" i="1"/>
  <c r="P599" i="1" s="1"/>
  <c r="S599" i="1" s="1"/>
  <c r="I599" i="1"/>
  <c r="G599" i="1"/>
  <c r="O598" i="1"/>
  <c r="K598" i="1"/>
  <c r="P598" i="1" s="1"/>
  <c r="S598" i="1" s="1"/>
  <c r="I598" i="1"/>
  <c r="G598" i="1"/>
  <c r="O597" i="1"/>
  <c r="K597" i="1"/>
  <c r="P597" i="1" s="1"/>
  <c r="S597" i="1" s="1"/>
  <c r="I597" i="1"/>
  <c r="G597" i="1"/>
  <c r="O594" i="1"/>
  <c r="O587" i="1"/>
  <c r="I587" i="1"/>
  <c r="K587" i="1" s="1"/>
  <c r="G587" i="1"/>
  <c r="O586" i="1"/>
  <c r="I586" i="1"/>
  <c r="K586" i="1" s="1"/>
  <c r="P586" i="1" s="1"/>
  <c r="S586" i="1" s="1"/>
  <c r="G586" i="1"/>
  <c r="R577" i="1"/>
  <c r="K577" i="1"/>
  <c r="Q577" i="1" s="1"/>
  <c r="L573" i="1"/>
  <c r="N573" i="1" s="1"/>
  <c r="G573" i="1"/>
  <c r="D573" i="1"/>
  <c r="P560" i="1"/>
  <c r="S560" i="1" s="1"/>
  <c r="P559" i="1"/>
  <c r="S559" i="1" s="1"/>
  <c r="N553" i="1"/>
  <c r="L553" i="1"/>
  <c r="Q553" i="1" s="1"/>
  <c r="S553" i="1" s="1"/>
  <c r="S552" i="1" s="1"/>
  <c r="S551" i="1" s="1"/>
  <c r="N550" i="1"/>
  <c r="L550" i="1"/>
  <c r="J550" i="1"/>
  <c r="N549" i="1"/>
  <c r="L549" i="1"/>
  <c r="J549" i="1"/>
  <c r="R544" i="1"/>
  <c r="K544" i="1"/>
  <c r="Q544" i="1" s="1"/>
  <c r="R543" i="1"/>
  <c r="K543" i="1"/>
  <c r="Q543" i="1" s="1"/>
  <c r="L539" i="1"/>
  <c r="N539" i="1" s="1"/>
  <c r="G539" i="1"/>
  <c r="D539" i="1"/>
  <c r="M526" i="1"/>
  <c r="I526" i="1"/>
  <c r="K526" i="1" s="1"/>
  <c r="P526" i="1" s="1"/>
  <c r="S526" i="1" s="1"/>
  <c r="G526" i="1"/>
  <c r="M525" i="1"/>
  <c r="I525" i="1"/>
  <c r="K525" i="1" s="1"/>
  <c r="P525" i="1" s="1"/>
  <c r="S525" i="1" s="1"/>
  <c r="G525" i="1"/>
  <c r="M524" i="1"/>
  <c r="I524" i="1"/>
  <c r="K524" i="1" s="1"/>
  <c r="P524" i="1" s="1"/>
  <c r="S524" i="1" s="1"/>
  <c r="G524" i="1"/>
  <c r="M523" i="1"/>
  <c r="I523" i="1"/>
  <c r="K523" i="1" s="1"/>
  <c r="P523" i="1" s="1"/>
  <c r="S523" i="1" s="1"/>
  <c r="G523" i="1"/>
  <c r="O522" i="1"/>
  <c r="I522" i="1"/>
  <c r="K522" i="1" s="1"/>
  <c r="G522" i="1"/>
  <c r="M521" i="1"/>
  <c r="I521" i="1"/>
  <c r="K521" i="1" s="1"/>
  <c r="P521" i="1" s="1"/>
  <c r="S521" i="1" s="1"/>
  <c r="G521" i="1"/>
  <c r="O520" i="1"/>
  <c r="I520" i="1"/>
  <c r="K520" i="1" s="1"/>
  <c r="G520" i="1"/>
  <c r="O519" i="1"/>
  <c r="I519" i="1"/>
  <c r="K519" i="1" s="1"/>
  <c r="P519" i="1" s="1"/>
  <c r="S519" i="1" s="1"/>
  <c r="G519" i="1"/>
  <c r="M518" i="1"/>
  <c r="I518" i="1"/>
  <c r="K518" i="1" s="1"/>
  <c r="P518" i="1" s="1"/>
  <c r="S518" i="1" s="1"/>
  <c r="G518" i="1"/>
  <c r="M517" i="1"/>
  <c r="I517" i="1"/>
  <c r="K517" i="1" s="1"/>
  <c r="P517" i="1" s="1"/>
  <c r="S517" i="1" s="1"/>
  <c r="G517" i="1"/>
  <c r="O516" i="1"/>
  <c r="I516" i="1"/>
  <c r="K516" i="1" s="1"/>
  <c r="G516" i="1"/>
  <c r="M515" i="1"/>
  <c r="I515" i="1"/>
  <c r="K515" i="1" s="1"/>
  <c r="P515" i="1" s="1"/>
  <c r="S515" i="1" s="1"/>
  <c r="G515" i="1"/>
  <c r="M514" i="1"/>
  <c r="I514" i="1"/>
  <c r="K514" i="1" s="1"/>
  <c r="P514" i="1" s="1"/>
  <c r="S514" i="1" s="1"/>
  <c r="G514" i="1"/>
  <c r="N508" i="1"/>
  <c r="L508" i="1"/>
  <c r="J508" i="1"/>
  <c r="N507" i="1"/>
  <c r="L507" i="1"/>
  <c r="J507" i="1"/>
  <c r="N506" i="1"/>
  <c r="L506" i="1"/>
  <c r="J506" i="1"/>
  <c r="N505" i="1"/>
  <c r="L505" i="1"/>
  <c r="J505" i="1"/>
  <c r="R501" i="1"/>
  <c r="K501" i="1"/>
  <c r="Q501" i="1" s="1"/>
  <c r="L497" i="1"/>
  <c r="N497" i="1" s="1"/>
  <c r="G497" i="1"/>
  <c r="D497" i="1"/>
  <c r="O484" i="1"/>
  <c r="I484" i="1"/>
  <c r="K484" i="1" s="1"/>
  <c r="P484" i="1" s="1"/>
  <c r="S484" i="1" s="1"/>
  <c r="S485" i="1" s="1"/>
  <c r="G484" i="1"/>
  <c r="N478" i="1"/>
  <c r="L478" i="1"/>
  <c r="Q478" i="1" s="1"/>
  <c r="S478" i="1" s="1"/>
  <c r="S477" i="1" s="1"/>
  <c r="J478" i="1"/>
  <c r="N475" i="1"/>
  <c r="L475" i="1"/>
  <c r="Q475" i="1" s="1"/>
  <c r="S475" i="1" s="1"/>
  <c r="S474" i="1" s="1"/>
  <c r="S476" i="1" s="1"/>
  <c r="J475" i="1"/>
  <c r="R470" i="1"/>
  <c r="K470" i="1"/>
  <c r="Q470" i="1" s="1"/>
  <c r="L466" i="1"/>
  <c r="N466" i="1" s="1"/>
  <c r="G466" i="1"/>
  <c r="D466" i="1"/>
  <c r="O453" i="1"/>
  <c r="K453" i="1"/>
  <c r="P453" i="1" s="1"/>
  <c r="S453" i="1" s="1"/>
  <c r="S454" i="1" s="1"/>
  <c r="I453" i="1"/>
  <c r="G453" i="1"/>
  <c r="N447" i="1"/>
  <c r="L447" i="1"/>
  <c r="Q447" i="1" s="1"/>
  <c r="S447" i="1" s="1"/>
  <c r="J447" i="1"/>
  <c r="N446" i="1"/>
  <c r="O446" i="1" s="1"/>
  <c r="L446" i="1"/>
  <c r="Q446" i="1" s="1"/>
  <c r="S446" i="1" s="1"/>
  <c r="J446" i="1"/>
  <c r="N443" i="1"/>
  <c r="L443" i="1"/>
  <c r="Q443" i="1" s="1"/>
  <c r="S443" i="1" s="1"/>
  <c r="S442" i="1" s="1"/>
  <c r="J443" i="1"/>
  <c r="R438" i="1"/>
  <c r="K438" i="1"/>
  <c r="Q438" i="1" s="1"/>
  <c r="L434" i="1"/>
  <c r="N434" i="1" s="1"/>
  <c r="G434" i="1"/>
  <c r="D434" i="1"/>
  <c r="I421" i="1"/>
  <c r="K421" i="1" s="1"/>
  <c r="P421" i="1" s="1"/>
  <c r="S421" i="1" s="1"/>
  <c r="G421" i="1"/>
  <c r="O420" i="1"/>
  <c r="I420" i="1"/>
  <c r="K420" i="1" s="1"/>
  <c r="G420" i="1"/>
  <c r="R414" i="1"/>
  <c r="K414" i="1"/>
  <c r="Q414" i="1" s="1"/>
  <c r="R413" i="1"/>
  <c r="K413" i="1"/>
  <c r="Q413" i="1" s="1"/>
  <c r="J409" i="1"/>
  <c r="L409" i="1" s="1"/>
  <c r="F409" i="1"/>
  <c r="I409" i="1" s="1"/>
  <c r="E409" i="1"/>
  <c r="H409" i="1" s="1"/>
  <c r="O396" i="1"/>
  <c r="I396" i="1"/>
  <c r="K396" i="1" s="1"/>
  <c r="G396" i="1"/>
  <c r="O395" i="1"/>
  <c r="I395" i="1"/>
  <c r="K395" i="1" s="1"/>
  <c r="G395" i="1"/>
  <c r="O394" i="1"/>
  <c r="I394" i="1"/>
  <c r="K394" i="1" s="1"/>
  <c r="G394" i="1"/>
  <c r="R388" i="1"/>
  <c r="K388" i="1"/>
  <c r="Q388" i="1" s="1"/>
  <c r="R387" i="1"/>
  <c r="K387" i="1"/>
  <c r="Q387" i="1" s="1"/>
  <c r="L383" i="1"/>
  <c r="N383" i="1" s="1"/>
  <c r="G383" i="1"/>
  <c r="D383" i="1"/>
  <c r="O370" i="1"/>
  <c r="K370" i="1"/>
  <c r="M369" i="1"/>
  <c r="K369" i="1"/>
  <c r="P369" i="1" s="1"/>
  <c r="S369" i="1" s="1"/>
  <c r="O368" i="1"/>
  <c r="K368" i="1"/>
  <c r="M367" i="1"/>
  <c r="K367" i="1"/>
  <c r="P367" i="1" s="1"/>
  <c r="S367" i="1" s="1"/>
  <c r="O366" i="1"/>
  <c r="K366" i="1"/>
  <c r="O365" i="1"/>
  <c r="K365" i="1"/>
  <c r="O364" i="1"/>
  <c r="K364" i="1"/>
  <c r="O363" i="1"/>
  <c r="K363" i="1"/>
  <c r="O362" i="1"/>
  <c r="I362" i="1"/>
  <c r="K362" i="1" s="1"/>
  <c r="P362" i="1" s="1"/>
  <c r="S362" i="1" s="1"/>
  <c r="O361" i="1"/>
  <c r="I361" i="1"/>
  <c r="K361" i="1" s="1"/>
  <c r="P361" i="1" s="1"/>
  <c r="S361" i="1" s="1"/>
  <c r="O360" i="1"/>
  <c r="K360" i="1"/>
  <c r="P360" i="1" s="1"/>
  <c r="S360" i="1" s="1"/>
  <c r="I360" i="1"/>
  <c r="O359" i="1"/>
  <c r="I359" i="1"/>
  <c r="K359" i="1" s="1"/>
  <c r="M358" i="1"/>
  <c r="K358" i="1"/>
  <c r="P358" i="1" s="1"/>
  <c r="S358" i="1" s="1"/>
  <c r="M357" i="1"/>
  <c r="I357" i="1"/>
  <c r="K357" i="1" s="1"/>
  <c r="P357" i="1" s="1"/>
  <c r="S357" i="1" s="1"/>
  <c r="O356" i="1"/>
  <c r="I356" i="1"/>
  <c r="K356" i="1" s="1"/>
  <c r="O355" i="1"/>
  <c r="I355" i="1"/>
  <c r="K355" i="1" s="1"/>
  <c r="P355" i="1" s="1"/>
  <c r="S355" i="1" s="1"/>
  <c r="O354" i="1"/>
  <c r="I354" i="1"/>
  <c r="K354" i="1" s="1"/>
  <c r="O353" i="1"/>
  <c r="K353" i="1"/>
  <c r="O352" i="1"/>
  <c r="I352" i="1"/>
  <c r="K352" i="1" s="1"/>
  <c r="P352" i="1" s="1"/>
  <c r="S352" i="1" s="1"/>
  <c r="O351" i="1"/>
  <c r="I351" i="1"/>
  <c r="K351" i="1" s="1"/>
  <c r="P351" i="1" s="1"/>
  <c r="S351" i="1" s="1"/>
  <c r="O350" i="1"/>
  <c r="K350" i="1"/>
  <c r="P350" i="1" s="1"/>
  <c r="S350" i="1" s="1"/>
  <c r="I350" i="1"/>
  <c r="N344" i="1"/>
  <c r="L344" i="1"/>
  <c r="Q344" i="1" s="1"/>
  <c r="S344" i="1" s="1"/>
  <c r="N343" i="1"/>
  <c r="L343" i="1"/>
  <c r="J343" i="1"/>
  <c r="N342" i="1"/>
  <c r="L342" i="1"/>
  <c r="R338" i="1"/>
  <c r="K338" i="1"/>
  <c r="Q338" i="1" s="1"/>
  <c r="S338" i="1" s="1"/>
  <c r="L334" i="1"/>
  <c r="N334" i="1" s="1"/>
  <c r="G334" i="1"/>
  <c r="D334" i="1"/>
  <c r="O321" i="1"/>
  <c r="I321" i="1"/>
  <c r="K321" i="1" s="1"/>
  <c r="G321" i="1"/>
  <c r="O320" i="1"/>
  <c r="I320" i="1"/>
  <c r="K320" i="1" s="1"/>
  <c r="G320" i="1"/>
  <c r="O319" i="1"/>
  <c r="I319" i="1"/>
  <c r="K319" i="1" s="1"/>
  <c r="G319" i="1"/>
  <c r="O318" i="1"/>
  <c r="I318" i="1"/>
  <c r="K318" i="1" s="1"/>
  <c r="O317" i="1"/>
  <c r="I317" i="1"/>
  <c r="K317" i="1" s="1"/>
  <c r="O316" i="1"/>
  <c r="I316" i="1"/>
  <c r="K316" i="1" s="1"/>
  <c r="O315" i="1"/>
  <c r="K315" i="1"/>
  <c r="I315" i="1"/>
  <c r="O314" i="1"/>
  <c r="I314" i="1"/>
  <c r="K314" i="1" s="1"/>
  <c r="G314" i="1"/>
  <c r="O313" i="1"/>
  <c r="I313" i="1"/>
  <c r="K313" i="1" s="1"/>
  <c r="I312" i="1"/>
  <c r="K312" i="1" s="1"/>
  <c r="R306" i="1"/>
  <c r="K306" i="1"/>
  <c r="Q306" i="1" s="1"/>
  <c r="L302" i="1"/>
  <c r="N302" i="1" s="1"/>
  <c r="G302" i="1"/>
  <c r="D302" i="1"/>
  <c r="O289" i="1"/>
  <c r="I289" i="1"/>
  <c r="K289" i="1" s="1"/>
  <c r="P289" i="1" s="1"/>
  <c r="S289" i="1" s="1"/>
  <c r="O288" i="1"/>
  <c r="K288" i="1"/>
  <c r="P288" i="1" s="1"/>
  <c r="S288" i="1" s="1"/>
  <c r="I288" i="1"/>
  <c r="O287" i="1"/>
  <c r="I287" i="1"/>
  <c r="K287" i="1" s="1"/>
  <c r="O286" i="1"/>
  <c r="I286" i="1"/>
  <c r="K286" i="1" s="1"/>
  <c r="O285" i="1"/>
  <c r="I285" i="1"/>
  <c r="K285" i="1" s="1"/>
  <c r="O284" i="1"/>
  <c r="I284" i="1"/>
  <c r="K284" i="1" s="1"/>
  <c r="P284" i="1" s="1"/>
  <c r="S284" i="1" s="1"/>
  <c r="O283" i="1"/>
  <c r="I283" i="1"/>
  <c r="K283" i="1" s="1"/>
  <c r="O282" i="1"/>
  <c r="I282" i="1"/>
  <c r="K282" i="1" s="1"/>
  <c r="P282" i="1" s="1"/>
  <c r="S282" i="1" s="1"/>
  <c r="O281" i="1"/>
  <c r="I281" i="1"/>
  <c r="K281" i="1" s="1"/>
  <c r="P281" i="1" s="1"/>
  <c r="S281" i="1" s="1"/>
  <c r="I280" i="1"/>
  <c r="K280" i="1" s="1"/>
  <c r="P280" i="1" s="1"/>
  <c r="S280" i="1" s="1"/>
  <c r="O279" i="1"/>
  <c r="I279" i="1"/>
  <c r="K279" i="1" s="1"/>
  <c r="M277" i="1"/>
  <c r="I277" i="1"/>
  <c r="K277" i="1" s="1"/>
  <c r="P277" i="1" s="1"/>
  <c r="S277" i="1" s="1"/>
  <c r="M276" i="1"/>
  <c r="I276" i="1"/>
  <c r="K276" i="1" s="1"/>
  <c r="P276" i="1" s="1"/>
  <c r="S276" i="1" s="1"/>
  <c r="M275" i="1"/>
  <c r="K275" i="1"/>
  <c r="P275" i="1" s="1"/>
  <c r="S275" i="1" s="1"/>
  <c r="I275" i="1"/>
  <c r="M274" i="1"/>
  <c r="I274" i="1"/>
  <c r="K274" i="1" s="1"/>
  <c r="P274" i="1" s="1"/>
  <c r="S274" i="1" s="1"/>
  <c r="M273" i="1"/>
  <c r="I273" i="1"/>
  <c r="K273" i="1" s="1"/>
  <c r="P273" i="1" s="1"/>
  <c r="S273" i="1" s="1"/>
  <c r="K272" i="1"/>
  <c r="P272" i="1" s="1"/>
  <c r="S272" i="1" s="1"/>
  <c r="I271" i="1"/>
  <c r="K271" i="1" s="1"/>
  <c r="P271" i="1" s="1"/>
  <c r="S271" i="1" s="1"/>
  <c r="M270" i="1"/>
  <c r="I270" i="1"/>
  <c r="K270" i="1" s="1"/>
  <c r="P270" i="1" s="1"/>
  <c r="S270" i="1" s="1"/>
  <c r="M269" i="1"/>
  <c r="I269" i="1"/>
  <c r="K269" i="1" s="1"/>
  <c r="P269" i="1" s="1"/>
  <c r="S269" i="1" s="1"/>
  <c r="O268" i="1"/>
  <c r="I268" i="1"/>
  <c r="K268" i="1" s="1"/>
  <c r="P268" i="1" s="1"/>
  <c r="S268" i="1" s="1"/>
  <c r="I267" i="1"/>
  <c r="K267" i="1" s="1"/>
  <c r="P267" i="1" s="1"/>
  <c r="S267" i="1" s="1"/>
  <c r="O266" i="1"/>
  <c r="I266" i="1"/>
  <c r="K266" i="1" s="1"/>
  <c r="P266" i="1" s="1"/>
  <c r="S266" i="1" s="1"/>
  <c r="O265" i="1"/>
  <c r="I265" i="1"/>
  <c r="K265" i="1" s="1"/>
  <c r="N257" i="1"/>
  <c r="L257" i="1"/>
  <c r="Q257" i="1" s="1"/>
  <c r="S257" i="1" s="1"/>
  <c r="S258" i="1" s="1"/>
  <c r="S253" i="1" s="1"/>
  <c r="J257" i="1"/>
  <c r="R252" i="1"/>
  <c r="K252" i="1"/>
  <c r="Q252" i="1" s="1"/>
  <c r="L248" i="1"/>
  <c r="N248" i="1" s="1"/>
  <c r="G248" i="1"/>
  <c r="I248" i="1" s="1"/>
  <c r="E248" i="1"/>
  <c r="D248" i="1" s="1"/>
  <c r="O235" i="1"/>
  <c r="I235" i="1"/>
  <c r="K235" i="1" s="1"/>
  <c r="O234" i="1"/>
  <c r="I234" i="1"/>
  <c r="K234" i="1" s="1"/>
  <c r="P234" i="1" s="1"/>
  <c r="S234" i="1" s="1"/>
  <c r="O233" i="1"/>
  <c r="I233" i="1"/>
  <c r="K233" i="1" s="1"/>
  <c r="P233" i="1" s="1"/>
  <c r="S233" i="1" s="1"/>
  <c r="O232" i="1"/>
  <c r="K232" i="1"/>
  <c r="P232" i="1" s="1"/>
  <c r="S232" i="1" s="1"/>
  <c r="I232" i="1"/>
  <c r="O231" i="1"/>
  <c r="I231" i="1"/>
  <c r="K231" i="1" s="1"/>
  <c r="O230" i="1"/>
  <c r="K230" i="1"/>
  <c r="O229" i="1"/>
  <c r="K229" i="1"/>
  <c r="O228" i="1"/>
  <c r="I228" i="1"/>
  <c r="K228" i="1" s="1"/>
  <c r="R222" i="1"/>
  <c r="K222" i="1"/>
  <c r="Q222" i="1" s="1"/>
  <c r="L218" i="1"/>
  <c r="N218" i="1" s="1"/>
  <c r="G218" i="1"/>
  <c r="I218" i="1" s="1"/>
  <c r="D218" i="1"/>
  <c r="O205" i="1"/>
  <c r="K205" i="1"/>
  <c r="G205" i="1"/>
  <c r="O204" i="1"/>
  <c r="I204" i="1"/>
  <c r="K204" i="1" s="1"/>
  <c r="P204" i="1" s="1"/>
  <c r="S204" i="1" s="1"/>
  <c r="G204" i="1"/>
  <c r="O203" i="1"/>
  <c r="I203" i="1"/>
  <c r="K203" i="1" s="1"/>
  <c r="P203" i="1" s="1"/>
  <c r="S203" i="1" s="1"/>
  <c r="G203" i="1"/>
  <c r="O202" i="1"/>
  <c r="I202" i="1"/>
  <c r="K202" i="1" s="1"/>
  <c r="P202" i="1" s="1"/>
  <c r="S202" i="1" s="1"/>
  <c r="G202" i="1"/>
  <c r="O201" i="1"/>
  <c r="I201" i="1"/>
  <c r="K201" i="1" s="1"/>
  <c r="P201" i="1" s="1"/>
  <c r="S201" i="1" s="1"/>
  <c r="G201" i="1"/>
  <c r="O200" i="1"/>
  <c r="I200" i="1"/>
  <c r="K200" i="1" s="1"/>
  <c r="P200" i="1" s="1"/>
  <c r="S200" i="1" s="1"/>
  <c r="G200" i="1"/>
  <c r="O199" i="1"/>
  <c r="I199" i="1"/>
  <c r="K199" i="1" s="1"/>
  <c r="P199" i="1" s="1"/>
  <c r="S199" i="1" s="1"/>
  <c r="G199" i="1"/>
  <c r="G198" i="1"/>
  <c r="O197" i="1"/>
  <c r="I197" i="1"/>
  <c r="K197" i="1" s="1"/>
  <c r="G197" i="1"/>
  <c r="L190" i="1"/>
  <c r="Q190" i="1" s="1"/>
  <c r="S190" i="1" s="1"/>
  <c r="J190" i="1"/>
  <c r="L189" i="1"/>
  <c r="Q189" i="1" s="1"/>
  <c r="S189" i="1" s="1"/>
  <c r="J189" i="1"/>
  <c r="L188" i="1"/>
  <c r="Q188" i="1" s="1"/>
  <c r="S188" i="1" s="1"/>
  <c r="J188" i="1"/>
  <c r="L187" i="1"/>
  <c r="Q187" i="1" s="1"/>
  <c r="S187" i="1" s="1"/>
  <c r="J187" i="1"/>
  <c r="L186" i="1"/>
  <c r="Q186" i="1" s="1"/>
  <c r="S186" i="1" s="1"/>
  <c r="J186" i="1"/>
  <c r="L185" i="1"/>
  <c r="Q185" i="1" s="1"/>
  <c r="S185" i="1" s="1"/>
  <c r="L184" i="1"/>
  <c r="Q184" i="1" s="1"/>
  <c r="S184" i="1" s="1"/>
  <c r="J184" i="1"/>
  <c r="L183" i="1"/>
  <c r="Q183" i="1" s="1"/>
  <c r="S183" i="1" s="1"/>
  <c r="J183" i="1"/>
  <c r="Q182" i="1"/>
  <c r="S182" i="1" s="1"/>
  <c r="L182" i="1"/>
  <c r="J182" i="1"/>
  <c r="L181" i="1"/>
  <c r="Q181" i="1" s="1"/>
  <c r="S181" i="1" s="1"/>
  <c r="J181" i="1"/>
  <c r="N178" i="1"/>
  <c r="L178" i="1"/>
  <c r="Q178" i="1" s="1"/>
  <c r="S178" i="1" s="1"/>
  <c r="J178" i="1"/>
  <c r="N177" i="1"/>
  <c r="L177" i="1"/>
  <c r="Q177" i="1" s="1"/>
  <c r="S177" i="1" s="1"/>
  <c r="J177" i="1"/>
  <c r="L174" i="1"/>
  <c r="Q174" i="1" s="1"/>
  <c r="S174" i="1" s="1"/>
  <c r="L173" i="1"/>
  <c r="Q173" i="1" s="1"/>
  <c r="S173" i="1" s="1"/>
  <c r="J173" i="1"/>
  <c r="N170" i="1"/>
  <c r="L170" i="1"/>
  <c r="J170" i="1"/>
  <c r="R164" i="1"/>
  <c r="K164" i="1"/>
  <c r="Q164" i="1" s="1"/>
  <c r="R163" i="1"/>
  <c r="K163" i="1"/>
  <c r="Q163" i="1" s="1"/>
  <c r="L159" i="1"/>
  <c r="G159" i="1"/>
  <c r="I159" i="1" s="1"/>
  <c r="F159" i="1" s="1"/>
  <c r="D159" i="1" s="1"/>
  <c r="O146" i="1"/>
  <c r="I146" i="1"/>
  <c r="K146" i="1" s="1"/>
  <c r="P146" i="1" s="1"/>
  <c r="S146" i="1" s="1"/>
  <c r="G146" i="1"/>
  <c r="O145" i="1"/>
  <c r="I145" i="1"/>
  <c r="K145" i="1" s="1"/>
  <c r="P145" i="1" s="1"/>
  <c r="S145" i="1" s="1"/>
  <c r="G145" i="1"/>
  <c r="O144" i="1"/>
  <c r="I144" i="1"/>
  <c r="K144" i="1" s="1"/>
  <c r="P144" i="1" s="1"/>
  <c r="S144" i="1" s="1"/>
  <c r="G144" i="1"/>
  <c r="O143" i="1"/>
  <c r="I143" i="1"/>
  <c r="K143" i="1" s="1"/>
  <c r="P143" i="1" s="1"/>
  <c r="S143" i="1" s="1"/>
  <c r="G143" i="1"/>
  <c r="O142" i="1"/>
  <c r="I142" i="1"/>
  <c r="K142" i="1" s="1"/>
  <c r="P142" i="1" s="1"/>
  <c r="S142" i="1" s="1"/>
  <c r="G142" i="1"/>
  <c r="O141" i="1"/>
  <c r="I141" i="1"/>
  <c r="K141" i="1" s="1"/>
  <c r="P141" i="1" s="1"/>
  <c r="S141" i="1" s="1"/>
  <c r="G141" i="1"/>
  <c r="O140" i="1"/>
  <c r="I140" i="1"/>
  <c r="K140" i="1" s="1"/>
  <c r="P140" i="1" s="1"/>
  <c r="S140" i="1" s="1"/>
  <c r="G140" i="1"/>
  <c r="O139" i="1"/>
  <c r="I139" i="1"/>
  <c r="K139" i="1" s="1"/>
  <c r="P139" i="1" s="1"/>
  <c r="S139" i="1" s="1"/>
  <c r="G139" i="1"/>
  <c r="O138" i="1"/>
  <c r="I138" i="1"/>
  <c r="K138" i="1" s="1"/>
  <c r="P138" i="1" s="1"/>
  <c r="S138" i="1" s="1"/>
  <c r="G138" i="1"/>
  <c r="O137" i="1"/>
  <c r="I137" i="1"/>
  <c r="K137" i="1" s="1"/>
  <c r="P137" i="1" s="1"/>
  <c r="S137" i="1" s="1"/>
  <c r="G137" i="1"/>
  <c r="O136" i="1"/>
  <c r="I136" i="1"/>
  <c r="K136" i="1" s="1"/>
  <c r="P136" i="1" s="1"/>
  <c r="S136" i="1" s="1"/>
  <c r="G136" i="1"/>
  <c r="O134" i="1"/>
  <c r="I134" i="1"/>
  <c r="K134" i="1" s="1"/>
  <c r="P134" i="1" s="1"/>
  <c r="S134" i="1" s="1"/>
  <c r="G134" i="1"/>
  <c r="O133" i="1"/>
  <c r="I133" i="1"/>
  <c r="K133" i="1" s="1"/>
  <c r="P133" i="1" s="1"/>
  <c r="S133" i="1" s="1"/>
  <c r="G133" i="1"/>
  <c r="O132" i="1"/>
  <c r="I132" i="1"/>
  <c r="K132" i="1" s="1"/>
  <c r="P132" i="1" s="1"/>
  <c r="S132" i="1" s="1"/>
  <c r="G132" i="1"/>
  <c r="O131" i="1"/>
  <c r="I131" i="1"/>
  <c r="K131" i="1" s="1"/>
  <c r="P131" i="1" s="1"/>
  <c r="S131" i="1" s="1"/>
  <c r="G131" i="1"/>
  <c r="O130" i="1"/>
  <c r="I130" i="1"/>
  <c r="K130" i="1" s="1"/>
  <c r="P130" i="1" s="1"/>
  <c r="S130" i="1" s="1"/>
  <c r="G130" i="1"/>
  <c r="O129" i="1"/>
  <c r="I129" i="1"/>
  <c r="K129" i="1" s="1"/>
  <c r="P129" i="1" s="1"/>
  <c r="S129" i="1" s="1"/>
  <c r="G129" i="1"/>
  <c r="O128" i="1"/>
  <c r="I128" i="1"/>
  <c r="K128" i="1" s="1"/>
  <c r="P128" i="1" s="1"/>
  <c r="S128" i="1" s="1"/>
  <c r="G128" i="1"/>
  <c r="O127" i="1"/>
  <c r="I127" i="1"/>
  <c r="K127" i="1" s="1"/>
  <c r="P127" i="1" s="1"/>
  <c r="S127" i="1" s="1"/>
  <c r="G127" i="1"/>
  <c r="O126" i="1"/>
  <c r="I126" i="1"/>
  <c r="K126" i="1" s="1"/>
  <c r="P126" i="1" s="1"/>
  <c r="S126" i="1" s="1"/>
  <c r="G126" i="1"/>
  <c r="O125" i="1"/>
  <c r="I125" i="1"/>
  <c r="K125" i="1" s="1"/>
  <c r="P125" i="1" s="1"/>
  <c r="S125" i="1" s="1"/>
  <c r="G125" i="1"/>
  <c r="N118" i="1"/>
  <c r="O118" i="1" s="1"/>
  <c r="L118" i="1"/>
  <c r="Q118" i="1" s="1"/>
  <c r="S118" i="1" s="1"/>
  <c r="S119" i="1" s="1"/>
  <c r="S114" i="1" s="1"/>
  <c r="R113" i="1"/>
  <c r="K113" i="1"/>
  <c r="Q113" i="1" s="1"/>
  <c r="R112" i="1"/>
  <c r="K112" i="1"/>
  <c r="Q112" i="1" s="1"/>
  <c r="L108" i="1"/>
  <c r="N108" i="1" s="1"/>
  <c r="J108" i="1"/>
  <c r="I108" i="1"/>
  <c r="G108" i="1"/>
  <c r="D108" i="1"/>
  <c r="O95" i="1"/>
  <c r="K95" i="1"/>
  <c r="P95" i="1" s="1"/>
  <c r="S95" i="1" s="1"/>
  <c r="I95" i="1"/>
  <c r="G95" i="1"/>
  <c r="O94" i="1"/>
  <c r="K94" i="1"/>
  <c r="P94" i="1" s="1"/>
  <c r="S94" i="1" s="1"/>
  <c r="G94" i="1"/>
  <c r="O93" i="1"/>
  <c r="K93" i="1"/>
  <c r="G93" i="1"/>
  <c r="O92" i="1"/>
  <c r="K92" i="1"/>
  <c r="P92" i="1" s="1"/>
  <c r="S92" i="1" s="1"/>
  <c r="I92" i="1"/>
  <c r="G92" i="1"/>
  <c r="O91" i="1"/>
  <c r="K91" i="1"/>
  <c r="P91" i="1" s="1"/>
  <c r="S91" i="1" s="1"/>
  <c r="I91" i="1"/>
  <c r="G91" i="1"/>
  <c r="O90" i="1"/>
  <c r="K90" i="1"/>
  <c r="P90" i="1" s="1"/>
  <c r="S90" i="1" s="1"/>
  <c r="I90" i="1"/>
  <c r="G90" i="1"/>
  <c r="O89" i="1"/>
  <c r="K89" i="1"/>
  <c r="P89" i="1" s="1"/>
  <c r="S89" i="1" s="1"/>
  <c r="I89" i="1"/>
  <c r="G89" i="1"/>
  <c r="O88" i="1"/>
  <c r="K88" i="1"/>
  <c r="P88" i="1" s="1"/>
  <c r="S88" i="1" s="1"/>
  <c r="I88" i="1"/>
  <c r="G88" i="1"/>
  <c r="O87" i="1"/>
  <c r="K87" i="1"/>
  <c r="P87" i="1" s="1"/>
  <c r="S87" i="1" s="1"/>
  <c r="I87" i="1"/>
  <c r="G87" i="1"/>
  <c r="O86" i="1"/>
  <c r="K86" i="1"/>
  <c r="P86" i="1" s="1"/>
  <c r="S86" i="1" s="1"/>
  <c r="I86" i="1"/>
  <c r="G86" i="1"/>
  <c r="O84" i="1"/>
  <c r="K84" i="1"/>
  <c r="P84" i="1" s="1"/>
  <c r="S84" i="1" s="1"/>
  <c r="G84" i="1"/>
  <c r="O83" i="1"/>
  <c r="I83" i="1"/>
  <c r="K83" i="1" s="1"/>
  <c r="G83" i="1"/>
  <c r="O82" i="1"/>
  <c r="I82" i="1"/>
  <c r="K82" i="1" s="1"/>
  <c r="P82" i="1" s="1"/>
  <c r="S82" i="1" s="1"/>
  <c r="G82" i="1"/>
  <c r="O81" i="1"/>
  <c r="I81" i="1"/>
  <c r="K81" i="1" s="1"/>
  <c r="G81" i="1"/>
  <c r="O80" i="1"/>
  <c r="I80" i="1"/>
  <c r="K80" i="1" s="1"/>
  <c r="P80" i="1" s="1"/>
  <c r="S80" i="1" s="1"/>
  <c r="G80" i="1"/>
  <c r="O79" i="1"/>
  <c r="M79" i="1"/>
  <c r="K79" i="1"/>
  <c r="P79" i="1" s="1"/>
  <c r="S79" i="1" s="1"/>
  <c r="I79" i="1"/>
  <c r="G79" i="1"/>
  <c r="O78" i="1"/>
  <c r="K78" i="1"/>
  <c r="P78" i="1" s="1"/>
  <c r="S78" i="1" s="1"/>
  <c r="I78" i="1"/>
  <c r="G78" i="1"/>
  <c r="O77" i="1"/>
  <c r="K77" i="1"/>
  <c r="P77" i="1" s="1"/>
  <c r="S77" i="1" s="1"/>
  <c r="I77" i="1"/>
  <c r="G77" i="1"/>
  <c r="O76" i="1"/>
  <c r="K76" i="1"/>
  <c r="P76" i="1" s="1"/>
  <c r="S76" i="1" s="1"/>
  <c r="I76" i="1"/>
  <c r="G76" i="1"/>
  <c r="I75" i="1"/>
  <c r="K75" i="1" s="1"/>
  <c r="P75" i="1" s="1"/>
  <c r="S75" i="1" s="1"/>
  <c r="G75" i="1"/>
  <c r="O74" i="1"/>
  <c r="I74" i="1"/>
  <c r="K74" i="1" s="1"/>
  <c r="G74" i="1"/>
  <c r="L67" i="1"/>
  <c r="Q67" i="1" s="1"/>
  <c r="S67" i="1" s="1"/>
  <c r="S66" i="1" s="1"/>
  <c r="S65" i="1" s="1"/>
  <c r="J67" i="1"/>
  <c r="N64" i="1"/>
  <c r="L64" i="1"/>
  <c r="Q64" i="1" s="1"/>
  <c r="S64" i="1" s="1"/>
  <c r="J64" i="1"/>
  <c r="N63" i="1"/>
  <c r="L63" i="1"/>
  <c r="Q63" i="1" s="1"/>
  <c r="S63" i="1" s="1"/>
  <c r="J63" i="1"/>
  <c r="N62" i="1"/>
  <c r="L62" i="1"/>
  <c r="Q62" i="1" s="1"/>
  <c r="S62" i="1" s="1"/>
  <c r="N61" i="1"/>
  <c r="L61" i="1"/>
  <c r="Q61" i="1" s="1"/>
  <c r="S61" i="1" s="1"/>
  <c r="R55" i="1"/>
  <c r="K55" i="1"/>
  <c r="Q55" i="1" s="1"/>
  <c r="R54" i="1"/>
  <c r="K54" i="1"/>
  <c r="Q54" i="1" s="1"/>
  <c r="J50" i="1"/>
  <c r="L50" i="1" s="1"/>
  <c r="N50" i="1" s="1"/>
  <c r="G50" i="1"/>
  <c r="I50" i="1" s="1"/>
  <c r="D50" i="1"/>
  <c r="O36" i="1"/>
  <c r="I36" i="1"/>
  <c r="K36" i="1" s="1"/>
  <c r="P36" i="1" s="1"/>
  <c r="S36" i="1" s="1"/>
  <c r="G36" i="1"/>
  <c r="O35" i="1"/>
  <c r="I35" i="1"/>
  <c r="K35" i="1" s="1"/>
  <c r="G35" i="1"/>
  <c r="O34" i="1"/>
  <c r="I34" i="1"/>
  <c r="K34" i="1" s="1"/>
  <c r="P34" i="1" s="1"/>
  <c r="S34" i="1" s="1"/>
  <c r="G34" i="1"/>
  <c r="O33" i="1"/>
  <c r="L33" i="1"/>
  <c r="G33" i="1"/>
  <c r="O32" i="1"/>
  <c r="I32" i="1"/>
  <c r="K32" i="1" s="1"/>
  <c r="G32" i="1"/>
  <c r="O31" i="1"/>
  <c r="I31" i="1"/>
  <c r="K31" i="1" s="1"/>
  <c r="G31" i="1"/>
  <c r="O30" i="1"/>
  <c r="I30" i="1"/>
  <c r="K30" i="1" s="1"/>
  <c r="P30" i="1" s="1"/>
  <c r="S30" i="1" s="1"/>
  <c r="G30" i="1"/>
  <c r="O29" i="1"/>
  <c r="I29" i="1"/>
  <c r="K29" i="1" s="1"/>
  <c r="G29" i="1"/>
  <c r="O28" i="1"/>
  <c r="I28" i="1"/>
  <c r="K28" i="1" s="1"/>
  <c r="P28" i="1" s="1"/>
  <c r="S28" i="1" s="1"/>
  <c r="G28" i="1"/>
  <c r="O27" i="1"/>
  <c r="I27" i="1"/>
  <c r="K27" i="1" s="1"/>
  <c r="G27" i="1"/>
  <c r="O26" i="1"/>
  <c r="I26" i="1"/>
  <c r="K26" i="1" s="1"/>
  <c r="P26" i="1" s="1"/>
  <c r="S26" i="1" s="1"/>
  <c r="G26" i="1"/>
  <c r="O25" i="1"/>
  <c r="I25" i="1"/>
  <c r="K25" i="1" s="1"/>
  <c r="G25" i="1"/>
  <c r="O24" i="1"/>
  <c r="I24" i="1"/>
  <c r="K24" i="1" s="1"/>
  <c r="P24" i="1" s="1"/>
  <c r="S24" i="1" s="1"/>
  <c r="G24" i="1"/>
  <c r="O23" i="1"/>
  <c r="I23" i="1"/>
  <c r="K23" i="1" s="1"/>
  <c r="G23" i="1"/>
  <c r="L17" i="1"/>
  <c r="Q17" i="1" s="1"/>
  <c r="S17" i="1" s="1"/>
  <c r="J17" i="1"/>
  <c r="R12" i="1"/>
  <c r="Q12" i="1"/>
  <c r="S12" i="1" s="1"/>
  <c r="K12" i="1"/>
  <c r="N8" i="1"/>
  <c r="L8" i="1"/>
  <c r="I8" i="1"/>
  <c r="D8" i="1"/>
  <c r="S147" i="1" l="1"/>
  <c r="P35" i="1"/>
  <c r="S35" i="1" s="1"/>
  <c r="S163" i="1"/>
  <c r="S164" i="1"/>
  <c r="S172" i="1"/>
  <c r="S222" i="1"/>
  <c r="P228" i="1"/>
  <c r="S228" i="1" s="1"/>
  <c r="S252" i="1"/>
  <c r="P285" i="1"/>
  <c r="S285" i="1" s="1"/>
  <c r="P286" i="1"/>
  <c r="S286" i="1" s="1"/>
  <c r="P516" i="1"/>
  <c r="S516" i="1" s="1"/>
  <c r="S527" i="1" s="1"/>
  <c r="S510" i="1" s="1"/>
  <c r="P520" i="1"/>
  <c r="S520" i="1" s="1"/>
  <c r="P522" i="1"/>
  <c r="S522" i="1" s="1"/>
  <c r="P781" i="1"/>
  <c r="S781" i="1" s="1"/>
  <c r="S783" i="1" s="1"/>
  <c r="P890" i="1"/>
  <c r="S890" i="1" s="1"/>
  <c r="P892" i="1"/>
  <c r="S892" i="1" s="1"/>
  <c r="P894" i="1"/>
  <c r="S894" i="1" s="1"/>
  <c r="P896" i="1"/>
  <c r="S896" i="1" s="1"/>
  <c r="P1001" i="1"/>
  <c r="S1001" i="1" s="1"/>
  <c r="P1003" i="1"/>
  <c r="S1003" i="1" s="1"/>
  <c r="P1005" i="1"/>
  <c r="S1005" i="1" s="1"/>
  <c r="P1007" i="1"/>
  <c r="S1007" i="1" s="1"/>
  <c r="P1009" i="1"/>
  <c r="S1009" i="1" s="1"/>
  <c r="S306" i="1"/>
  <c r="P319" i="1"/>
  <c r="S319" i="1" s="1"/>
  <c r="P321" i="1"/>
  <c r="S321" i="1" s="1"/>
  <c r="O343" i="1"/>
  <c r="P356" i="1"/>
  <c r="S356" i="1" s="1"/>
  <c r="S387" i="1"/>
  <c r="S388" i="1"/>
  <c r="P395" i="1"/>
  <c r="S395" i="1" s="1"/>
  <c r="S413" i="1"/>
  <c r="S414" i="1"/>
  <c r="S438" i="1"/>
  <c r="O443" i="1"/>
  <c r="O447" i="1"/>
  <c r="S501" i="1"/>
  <c r="O506" i="1"/>
  <c r="O508" i="1"/>
  <c r="O549" i="1"/>
  <c r="O553" i="1"/>
  <c r="O679" i="1"/>
  <c r="O681" i="1"/>
  <c r="P692" i="1"/>
  <c r="S692" i="1" s="1"/>
  <c r="P694" i="1"/>
  <c r="S694" i="1" s="1"/>
  <c r="P696" i="1"/>
  <c r="S696" i="1" s="1"/>
  <c r="P698" i="1"/>
  <c r="S698" i="1" s="1"/>
  <c r="P700" i="1"/>
  <c r="S700" i="1" s="1"/>
  <c r="O724" i="1"/>
  <c r="O723" i="1" s="1"/>
  <c r="O726" i="1"/>
  <c r="O731" i="1"/>
  <c r="P745" i="1"/>
  <c r="S745" i="1" s="1"/>
  <c r="P747" i="1"/>
  <c r="S747" i="1" s="1"/>
  <c r="P749" i="1"/>
  <c r="S749" i="1" s="1"/>
  <c r="P751" i="1"/>
  <c r="S751" i="1" s="1"/>
  <c r="P753" i="1"/>
  <c r="S753" i="1" s="1"/>
  <c r="P755" i="1"/>
  <c r="S755" i="1" s="1"/>
  <c r="D853" i="1"/>
  <c r="G853" i="1"/>
  <c r="N853" i="1"/>
  <c r="P866" i="1"/>
  <c r="S866" i="1" s="1"/>
  <c r="S913" i="1"/>
  <c r="S914" i="1"/>
  <c r="P922" i="1"/>
  <c r="S922" i="1" s="1"/>
  <c r="P925" i="1"/>
  <c r="S925" i="1" s="1"/>
  <c r="P927" i="1"/>
  <c r="S927" i="1" s="1"/>
  <c r="P929" i="1"/>
  <c r="S929" i="1" s="1"/>
  <c r="P931" i="1"/>
  <c r="S931" i="1" s="1"/>
  <c r="S176" i="1"/>
  <c r="S179" i="1" s="1"/>
  <c r="S180" i="1"/>
  <c r="S445" i="1"/>
  <c r="S989" i="1"/>
  <c r="S60" i="1"/>
  <c r="S68" i="1" s="1"/>
  <c r="S56" i="1" s="1"/>
  <c r="P23" i="1"/>
  <c r="S23" i="1" s="1"/>
  <c r="P25" i="1"/>
  <c r="S25" i="1" s="1"/>
  <c r="P27" i="1"/>
  <c r="S27" i="1" s="1"/>
  <c r="P29" i="1"/>
  <c r="S29" i="1" s="1"/>
  <c r="P31" i="1"/>
  <c r="S31" i="1" s="1"/>
  <c r="O62" i="1"/>
  <c r="O63" i="1"/>
  <c r="O64" i="1"/>
  <c r="P81" i="1"/>
  <c r="S81" i="1" s="1"/>
  <c r="P83" i="1"/>
  <c r="S83" i="1" s="1"/>
  <c r="P93" i="1"/>
  <c r="S93" i="1" s="1"/>
  <c r="S112" i="1"/>
  <c r="S113" i="1"/>
  <c r="N159" i="1"/>
  <c r="O170" i="1"/>
  <c r="O169" i="1" s="1"/>
  <c r="O177" i="1"/>
  <c r="O178" i="1"/>
  <c r="P197" i="1"/>
  <c r="S197" i="1" s="1"/>
  <c r="P205" i="1"/>
  <c r="S205" i="1" s="1"/>
  <c r="P229" i="1"/>
  <c r="S229" i="1" s="1"/>
  <c r="P230" i="1"/>
  <c r="S230" i="1" s="1"/>
  <c r="P231" i="1"/>
  <c r="S231" i="1" s="1"/>
  <c r="P235" i="1"/>
  <c r="S235" i="1" s="1"/>
  <c r="O257" i="1"/>
  <c r="P265" i="1"/>
  <c r="S265" i="1" s="1"/>
  <c r="P279" i="1"/>
  <c r="S279" i="1" s="1"/>
  <c r="P283" i="1"/>
  <c r="S283" i="1" s="1"/>
  <c r="P287" i="1"/>
  <c r="S287" i="1" s="1"/>
  <c r="P314" i="1"/>
  <c r="S314" i="1" s="1"/>
  <c r="P320" i="1"/>
  <c r="S320" i="1" s="1"/>
  <c r="O342" i="1"/>
  <c r="N345" i="1"/>
  <c r="P353" i="1"/>
  <c r="S353" i="1" s="1"/>
  <c r="P354" i="1"/>
  <c r="S354" i="1" s="1"/>
  <c r="P359" i="1"/>
  <c r="S359" i="1" s="1"/>
  <c r="P363" i="1"/>
  <c r="S363" i="1" s="1"/>
  <c r="P364" i="1"/>
  <c r="S364" i="1" s="1"/>
  <c r="P365" i="1"/>
  <c r="S365" i="1" s="1"/>
  <c r="P366" i="1"/>
  <c r="S366" i="1" s="1"/>
  <c r="P368" i="1"/>
  <c r="S368" i="1" s="1"/>
  <c r="P370" i="1"/>
  <c r="S370" i="1" s="1"/>
  <c r="P394" i="1"/>
  <c r="S394" i="1" s="1"/>
  <c r="P396" i="1"/>
  <c r="S396" i="1" s="1"/>
  <c r="G409" i="1"/>
  <c r="N409" i="1"/>
  <c r="P420" i="1"/>
  <c r="S420" i="1" s="1"/>
  <c r="S422" i="1" s="1"/>
  <c r="S416" i="1" s="1"/>
  <c r="S470" i="1"/>
  <c r="O475" i="1"/>
  <c r="O478" i="1"/>
  <c r="O505" i="1"/>
  <c r="O507" i="1"/>
  <c r="S543" i="1"/>
  <c r="S544" i="1"/>
  <c r="O550" i="1"/>
  <c r="S617" i="1"/>
  <c r="P624" i="1"/>
  <c r="S624" i="1" s="1"/>
  <c r="S625" i="1" s="1"/>
  <c r="S717" i="1"/>
  <c r="P744" i="1"/>
  <c r="S744" i="1" s="1"/>
  <c r="P746" i="1"/>
  <c r="S746" i="1" s="1"/>
  <c r="P748" i="1"/>
  <c r="S748" i="1" s="1"/>
  <c r="P750" i="1"/>
  <c r="S750" i="1" s="1"/>
  <c r="P752" i="1"/>
  <c r="S752" i="1" s="1"/>
  <c r="P810" i="1"/>
  <c r="S810" i="1" s="1"/>
  <c r="P812" i="1"/>
  <c r="S812" i="1" s="1"/>
  <c r="P814" i="1"/>
  <c r="S814" i="1" s="1"/>
  <c r="P816" i="1"/>
  <c r="S816" i="1" s="1"/>
  <c r="P930" i="1"/>
  <c r="S930" i="1" s="1"/>
  <c r="P959" i="1"/>
  <c r="S959" i="1" s="1"/>
  <c r="P961" i="1"/>
  <c r="S961" i="1" s="1"/>
  <c r="P963" i="1"/>
  <c r="S963" i="1" s="1"/>
  <c r="P965" i="1"/>
  <c r="S965" i="1" s="1"/>
  <c r="P967" i="1"/>
  <c r="S967" i="1" s="1"/>
  <c r="S995" i="1"/>
  <c r="S986" i="1" s="1"/>
  <c r="P1035" i="1"/>
  <c r="S1035" i="1" s="1"/>
  <c r="P1038" i="1"/>
  <c r="S1038" i="1" s="1"/>
  <c r="P1040" i="1"/>
  <c r="S1040" i="1" s="1"/>
  <c r="P1042" i="1"/>
  <c r="S1042" i="1" s="1"/>
  <c r="P1044" i="1"/>
  <c r="S1044" i="1" s="1"/>
  <c r="S577" i="1"/>
  <c r="P587" i="1"/>
  <c r="S587" i="1" s="1"/>
  <c r="P649" i="1"/>
  <c r="S649" i="1" s="1"/>
  <c r="P651" i="1"/>
  <c r="S651" i="1" s="1"/>
  <c r="P653" i="1"/>
  <c r="S653" i="1" s="1"/>
  <c r="P655" i="1"/>
  <c r="S655" i="1" s="1"/>
  <c r="O677" i="1"/>
  <c r="O678" i="1"/>
  <c r="O680" i="1"/>
  <c r="O684" i="1"/>
  <c r="P693" i="1"/>
  <c r="S693" i="1" s="1"/>
  <c r="P695" i="1"/>
  <c r="S695" i="1" s="1"/>
  <c r="P697" i="1"/>
  <c r="S697" i="1" s="1"/>
  <c r="P699" i="1"/>
  <c r="S699" i="1" s="1"/>
  <c r="O725" i="1"/>
  <c r="O729" i="1"/>
  <c r="P741" i="1"/>
  <c r="S741" i="1" s="1"/>
  <c r="P754" i="1"/>
  <c r="S754" i="1" s="1"/>
  <c r="P756" i="1"/>
  <c r="S756" i="1" s="1"/>
  <c r="O803" i="1"/>
  <c r="P817" i="1"/>
  <c r="S817" i="1" s="1"/>
  <c r="O839" i="1"/>
  <c r="S857" i="1"/>
  <c r="S858" i="1"/>
  <c r="S859" i="1"/>
  <c r="P867" i="1"/>
  <c r="S867" i="1" s="1"/>
  <c r="S868" i="1" s="1"/>
  <c r="P921" i="1"/>
  <c r="S921" i="1" s="1"/>
  <c r="P923" i="1"/>
  <c r="S923" i="1" s="1"/>
  <c r="P926" i="1"/>
  <c r="S926" i="1" s="1"/>
  <c r="P928" i="1"/>
  <c r="S928" i="1" s="1"/>
  <c r="S954" i="1"/>
  <c r="S949" i="1" s="1"/>
  <c r="O990" i="1"/>
  <c r="O991" i="1"/>
  <c r="S1028" i="1"/>
  <c r="S1029" i="1"/>
  <c r="K33" i="1"/>
  <c r="P33" i="1" s="1"/>
  <c r="S33" i="1" s="1"/>
  <c r="P32" i="1"/>
  <c r="S32" i="1" s="1"/>
  <c r="S18" i="1"/>
  <c r="S14" i="1"/>
  <c r="I33" i="1"/>
  <c r="O61" i="1"/>
  <c r="S150" i="1"/>
  <c r="S120" i="1"/>
  <c r="S371" i="1"/>
  <c r="S449" i="1"/>
  <c r="S54" i="1"/>
  <c r="S55" i="1"/>
  <c r="P74" i="1"/>
  <c r="S74" i="1" s="1"/>
  <c r="S96" i="1" s="1"/>
  <c r="S99" i="1" s="1"/>
  <c r="S425" i="1"/>
  <c r="Q170" i="1"/>
  <c r="S170" i="1" s="1"/>
  <c r="S169" i="1" s="1"/>
  <c r="S171" i="1" s="1"/>
  <c r="S191" i="1" s="1"/>
  <c r="Q342" i="1"/>
  <c r="S342" i="1" s="1"/>
  <c r="Q343" i="1"/>
  <c r="S343" i="1" s="1"/>
  <c r="O344" i="1"/>
  <c r="S444" i="1"/>
  <c r="S448" i="1" s="1"/>
  <c r="O548" i="1"/>
  <c r="S561" i="1"/>
  <c r="S601" i="1"/>
  <c r="S786" i="1"/>
  <c r="S775" i="1"/>
  <c r="D409" i="1"/>
  <c r="S479" i="1"/>
  <c r="S471" i="1" s="1"/>
  <c r="S488" i="1"/>
  <c r="S480" i="1"/>
  <c r="O509" i="1"/>
  <c r="Q505" i="1"/>
  <c r="S505" i="1" s="1"/>
  <c r="Q506" i="1"/>
  <c r="S506" i="1" s="1"/>
  <c r="Q507" i="1"/>
  <c r="S507" i="1" s="1"/>
  <c r="Q508" i="1"/>
  <c r="S508" i="1" s="1"/>
  <c r="Q549" i="1"/>
  <c r="S549" i="1" s="1"/>
  <c r="Q550" i="1"/>
  <c r="S550" i="1" s="1"/>
  <c r="Q678" i="1"/>
  <c r="S678" i="1" s="1"/>
  <c r="Q679" i="1"/>
  <c r="S679" i="1" s="1"/>
  <c r="Q680" i="1"/>
  <c r="S680" i="1" s="1"/>
  <c r="Q681" i="1"/>
  <c r="S681" i="1" s="1"/>
  <c r="Q684" i="1"/>
  <c r="S684" i="1" s="1"/>
  <c r="S683" i="1" s="1"/>
  <c r="S682" i="1" s="1"/>
  <c r="Q724" i="1"/>
  <c r="S724" i="1" s="1"/>
  <c r="Q725" i="1"/>
  <c r="S725" i="1" s="1"/>
  <c r="Q726" i="1"/>
  <c r="S726" i="1" s="1"/>
  <c r="Q729" i="1"/>
  <c r="S729" i="1" s="1"/>
  <c r="S728" i="1" s="1"/>
  <c r="S799" i="1"/>
  <c r="S844" i="1"/>
  <c r="S836" i="1"/>
  <c r="O953" i="1"/>
  <c r="S985" i="1"/>
  <c r="P1011" i="1"/>
  <c r="S1011" i="1" s="1"/>
  <c r="O952" i="1"/>
  <c r="O954" i="1" s="1"/>
  <c r="S346" i="1" l="1"/>
  <c r="S374" i="1"/>
  <c r="S236" i="1"/>
  <c r="S897" i="1"/>
  <c r="S1012" i="1"/>
  <c r="S757" i="1"/>
  <c r="S733" i="1" s="1"/>
  <c r="S701" i="1"/>
  <c r="S819" i="1"/>
  <c r="S805" i="1" s="1"/>
  <c r="S322" i="1"/>
  <c r="S37" i="1"/>
  <c r="S19" i="1" s="1"/>
  <c r="S822" i="1"/>
  <c r="S871" i="1"/>
  <c r="S861" i="1"/>
  <c r="S628" i="1"/>
  <c r="S619" i="1"/>
  <c r="S224" i="1"/>
  <c r="S239" i="1"/>
  <c r="S932" i="1"/>
  <c r="O676" i="1"/>
  <c r="S656" i="1"/>
  <c r="S290" i="1"/>
  <c r="S676" i="1"/>
  <c r="S1046" i="1"/>
  <c r="S969" i="1"/>
  <c r="S397" i="1"/>
  <c r="S206" i="1"/>
  <c r="S192" i="1" s="1"/>
  <c r="O176" i="1"/>
  <c r="S439" i="1"/>
  <c r="S457" i="1"/>
  <c r="S165" i="1"/>
  <c r="S996" i="1"/>
  <c r="S1015" i="1"/>
  <c r="S723" i="1"/>
  <c r="S727" i="1" s="1"/>
  <c r="S732" i="1" s="1"/>
  <c r="S719" i="1" s="1"/>
  <c r="S555" i="1"/>
  <c r="S40" i="1"/>
  <c r="S685" i="1"/>
  <c r="S673" i="1" s="1"/>
  <c r="S548" i="1"/>
  <c r="S554" i="1" s="1"/>
  <c r="S545" i="1" s="1"/>
  <c r="S509" i="1"/>
  <c r="S686" i="1"/>
  <c r="S604" i="1"/>
  <c r="S579" i="1"/>
  <c r="S345" i="1"/>
  <c r="S339" i="1" s="1"/>
  <c r="C1058" i="1" l="1"/>
  <c r="S900" i="1"/>
  <c r="S886" i="1"/>
  <c r="S308" i="1"/>
  <c r="S325" i="1"/>
  <c r="S972" i="1"/>
  <c r="S955" i="1"/>
  <c r="S643" i="1"/>
  <c r="S659" i="1"/>
  <c r="S935" i="1"/>
  <c r="S916" i="1"/>
  <c r="S704" i="1"/>
  <c r="S760" i="1"/>
  <c r="S209" i="1"/>
  <c r="S390" i="1"/>
  <c r="S400" i="1"/>
  <c r="S1049" i="1"/>
  <c r="S1031" i="1"/>
  <c r="S260" i="1"/>
  <c r="S293" i="1"/>
  <c r="S564" i="1"/>
  <c r="S502" i="1"/>
  <c r="S530" i="1"/>
  <c r="U13" i="1" l="1"/>
  <c r="C1057" i="1"/>
  <c r="C1054" i="1" s="1"/>
  <c r="C1060" i="1" s="1"/>
  <c r="C1052" i="1" l="1"/>
</calcChain>
</file>

<file path=xl/sharedStrings.xml><?xml version="1.0" encoding="utf-8"?>
<sst xmlns="http://schemas.openxmlformats.org/spreadsheetml/2006/main" count="7663" uniqueCount="1088">
  <si>
    <t>PHỤ LỤC 1: PHƯƠNG ÁN  BỒI THƯỜNG, HỖ TRỢ GIẢI PHÓNG MẶT BẰNG ÔNG: ĐÀO NGỌC HẠNH</t>
  </si>
  <si>
    <t>DỰ ÁN: ĐƯỜNG LÊ LỢI</t>
  </si>
  <si>
    <t>ĐỊA ĐIỂM: XÃ THUẬN AN, TỈNH LÂM ĐỒNG</t>
  </si>
  <si>
    <t>I</t>
  </si>
  <si>
    <t>THÔNG TIN VỀ NGƯỜI CÓ ĐẤT BỊ THU HỒI, CHỦ SỬ HỮU TÀI SẢN</t>
  </si>
  <si>
    <t>Mục lục</t>
  </si>
  <si>
    <t>Họ và tên, Số CCCD, ngày cấp CCCD</t>
  </si>
  <si>
    <t>Địa chỉ thường trú; Số điện thoại liên hệ</t>
  </si>
  <si>
    <t>Tỉ lệ thu hồi đất ở</t>
  </si>
  <si>
    <t>Tỉ lệ thu hồi đất nông nghiệp</t>
  </si>
  <si>
    <t>Trực tiếp SXNN (Có/ Không)</t>
  </si>
  <si>
    <t>Nguồn gốc thửa đất bị thu hồi</t>
  </si>
  <si>
    <t>Tình trạng sử dụng</t>
  </si>
  <si>
    <t>Tình trạng tranh chấp</t>
  </si>
  <si>
    <t>Hiện trạng (Đang trực tiếp ở/ Canh tác trên đất)</t>
  </si>
  <si>
    <t>Ghi chú</t>
  </si>
  <si>
    <t>Tổng diện tích (m2)</t>
  </si>
  <si>
    <t>Mục đích sử dụng đất</t>
  </si>
  <si>
    <t>Diện tích (m2)</t>
  </si>
  <si>
    <t>1</t>
  </si>
  <si>
    <t>Thôn Đắk Xuân, xã Thuận An, Tỉnh Lâm Đồng (0906423242)</t>
  </si>
  <si>
    <t>Không</t>
  </si>
  <si>
    <t>Nhận trặng cho</t>
  </si>
  <si>
    <t>Sử dụng ổn định; Ranh giới thửa đất không thay đổi</t>
  </si>
  <si>
    <t>Không tranh chấp</t>
  </si>
  <si>
    <t>Đang ở trên thửa đất thu hồi</t>
  </si>
  <si>
    <t>Giấy CNQSD đất số DI 050102 cấp ngày 13/3/2023</t>
  </si>
  <si>
    <t>II</t>
  </si>
  <si>
    <t>III</t>
  </si>
  <si>
    <t>PHƯƠNG ÁN BỒI THƯỜNG VỀ CÂY TRỒNG: BỒI THƯỜNG BẰNG TIỀN:</t>
  </si>
  <si>
    <t>Hạng mục cây trồng</t>
  </si>
  <si>
    <t>Giai đoạn kiến thiết cơ bản/Giai đoạn kinh doanh</t>
  </si>
  <si>
    <t>Phân loại (A,B,C)</t>
  </si>
  <si>
    <t>Mục lục theo Biên bản xác định</t>
  </si>
  <si>
    <t>Nguồn gốc</t>
  </si>
  <si>
    <t>Giấy CNQSH</t>
  </si>
  <si>
    <t>Năm trồng/ Năm BT</t>
  </si>
  <si>
    <t>Khối lượng ảnh hưởng</t>
  </si>
  <si>
    <t>Khối lượng BT</t>
  </si>
  <si>
    <t>Đơn vị tính</t>
  </si>
  <si>
    <t>Mật độ (m2/cây, theo QĐ 06/2022)</t>
  </si>
  <si>
    <t xml:space="preserve">Đơn giá (đồng) </t>
  </si>
  <si>
    <t>Thành tiền (đồng)</t>
  </si>
  <si>
    <t>Tỉ lệ BT (%)</t>
  </si>
  <si>
    <t>Thành tiền BT</t>
  </si>
  <si>
    <t>Phần</t>
  </si>
  <si>
    <t>Mục</t>
  </si>
  <si>
    <t>Năm trồng</t>
  </si>
  <si>
    <t>Thời kỳ KT/KD (năm thứ)</t>
  </si>
  <si>
    <t>Sung</t>
  </si>
  <si>
    <t>Giai đoạn kinh doanh 4-10</t>
  </si>
  <si>
    <t>A</t>
  </si>
  <si>
    <t>Mục 1</t>
  </si>
  <si>
    <t>Nhận TC</t>
  </si>
  <si>
    <t>Cây</t>
  </si>
  <si>
    <t>Tổng</t>
  </si>
  <si>
    <t>IV</t>
  </si>
  <si>
    <t xml:space="preserve">PHƯƠNG ÁN BỒI THƯỜNG VỀ TÀI SẢN, VẬT KIẾN TRÚC : </t>
  </si>
  <si>
    <t>B</t>
  </si>
  <si>
    <t>C</t>
  </si>
  <si>
    <t>D</t>
  </si>
  <si>
    <t>E</t>
  </si>
  <si>
    <t>F</t>
  </si>
  <si>
    <t>G</t>
  </si>
  <si>
    <t>H</t>
  </si>
  <si>
    <t>K</t>
  </si>
  <si>
    <t>L</t>
  </si>
  <si>
    <t>M</t>
  </si>
  <si>
    <t>N</t>
  </si>
  <si>
    <t>O</t>
  </si>
  <si>
    <t>p</t>
  </si>
  <si>
    <t>H.1</t>
  </si>
  <si>
    <t>H.2</t>
  </si>
  <si>
    <t>H.3</t>
  </si>
  <si>
    <t>H.4</t>
  </si>
  <si>
    <t>H.5</t>
  </si>
  <si>
    <t>Hạng mục vật kiến trúc/ Mục đích sử dụng</t>
  </si>
  <si>
    <t>Kết cấu tài sản</t>
  </si>
  <si>
    <t>Đvt</t>
  </si>
  <si>
    <t xml:space="preserve">Năm XD </t>
  </si>
  <si>
    <t>Thời gian trích khấu hao</t>
  </si>
  <si>
    <t xml:space="preserve">Thời gian đã sử dụng </t>
  </si>
  <si>
    <t>Nguồn gốc tài sản</t>
  </si>
  <si>
    <t>KL/số lượng ảnh hưởng</t>
  </si>
  <si>
    <t>KL/số lượng không BT</t>
  </si>
  <si>
    <t>KL/số lượng BT</t>
  </si>
  <si>
    <t>Hệ số khu vực</t>
  </si>
  <si>
    <t>Đơn giá</t>
  </si>
  <si>
    <t>Tỉ lệ (%)</t>
  </si>
  <si>
    <t>Đơn giá sau giảm trừ thiếu kết cấu</t>
  </si>
  <si>
    <t>Nguyên giá = H.3*H.4*I*K (đồng)</t>
  </si>
  <si>
    <t>Giá trị hiện có của nhà, công trình: Tgt = L - (L*F/E)</t>
  </si>
  <si>
    <t>Giá trị hiện có của nhà, công trình x 30%</t>
  </si>
  <si>
    <t>Hàng rào</t>
  </si>
  <si>
    <t>m²</t>
  </si>
  <si>
    <t>GĐ tự XD</t>
  </si>
  <si>
    <t>0</t>
  </si>
  <si>
    <t>-</t>
  </si>
  <si>
    <t>2</t>
  </si>
  <si>
    <t>Trụ cổng</t>
  </si>
  <si>
    <t>m³</t>
  </si>
  <si>
    <t>+</t>
  </si>
  <si>
    <t>Cộng thêm</t>
  </si>
  <si>
    <t>Gạch ceramic ốp trụ cổng DTXD=DTAH 0,45m x cao 2,5m x 4 mặt x 2 trụ.</t>
  </si>
  <si>
    <t>3</t>
  </si>
  <si>
    <t>Cổng sắt thoáng</t>
  </si>
  <si>
    <t>Cổng sắt 4x6 cm, DTXD=DTAH (1,7m x 1,7m) 02 cánh</t>
  </si>
  <si>
    <t>4</t>
  </si>
  <si>
    <t>Mái chữ A</t>
  </si>
  <si>
    <t>Khung sắt 4x8, mái tôn. DTXD+DTAH (4m x 1,4m)</t>
  </si>
  <si>
    <t>5</t>
  </si>
  <si>
    <t>Tường rào</t>
  </si>
  <si>
    <t>6</t>
  </si>
  <si>
    <t>Mái vòm</t>
  </si>
  <si>
    <t>Khung sắt, vì kèo sắt, trụ sắt phi 60cm DTXD=DTAH (6m x 6,3m)</t>
  </si>
  <si>
    <t>7</t>
  </si>
  <si>
    <t>Nhà (Quán)</t>
  </si>
  <si>
    <t>Khung nhôm, không móng, không mái, vách kính + tấm tôn, trần nhựa DTXD (2,7m x 4,4m) cao 2,7m. DTAH (2,7m x 3,8m) 
Tương đương vách ngăn, khung xương thép</t>
  </si>
  <si>
    <t>Trần tấm nhựa (2,7m x 3,8m)</t>
  </si>
  <si>
    <t>8</t>
  </si>
  <si>
    <t>Sân</t>
  </si>
  <si>
    <t>Gạch bát tràng</t>
  </si>
  <si>
    <t>9</t>
  </si>
  <si>
    <t>Tấm đan</t>
  </si>
  <si>
    <t>Tấm đan bê tông (1m x 1m) x 0,1m, 07 tấm</t>
  </si>
  <si>
    <t>10</t>
  </si>
  <si>
    <t>Bờ kè</t>
  </si>
  <si>
    <t>Móng xây đá hộc DTXD=DTAH (6,8m x 0,5m x 0,2m) x 2 bờ kè</t>
  </si>
  <si>
    <t>11</t>
  </si>
  <si>
    <t>Vách ngăn</t>
  </si>
  <si>
    <t>Khung sắt thưng tôn DTXD=DTAH (6,6m x 3m)</t>
  </si>
  <si>
    <t>V</t>
  </si>
  <si>
    <t>CHÍNH SÁCH HỖ TRỢ: KHÔNG</t>
  </si>
  <si>
    <t>VI</t>
  </si>
  <si>
    <t>PHƯƠNG ÁN TÁI ĐỊNH CƯ: KHÔNG</t>
  </si>
  <si>
    <t>VII</t>
  </si>
  <si>
    <t>TỔNG TIỀN BỒI THƯỜNG, HỖ TRỢ, TÁI ĐỊNH CƯ CỦA ÔNG: ĐÀO NGỌC HẠNH</t>
  </si>
  <si>
    <t xml:space="preserve"> </t>
  </si>
  <si>
    <t>PHỤ LỤC 2: PHƯƠNG ÁN  BỒI THƯỜNG, HỖ TRỢ GIẢI PHÓNG MẶT BẰNG ÔNG: LẠI VĂN CƯ</t>
  </si>
  <si>
    <t>Ông LẠI VĂN CƯ, CCCD: 001071049906, ngày cấp: 17/6/2021, bà Đặng Thị Kim Phượng, CCCD:067186002481</t>
  </si>
  <si>
    <t>Nhận chuyển nhượng</t>
  </si>
  <si>
    <t>PHƯƠNG ÁN BỒI THƯỜNG VỀ CÂY TRỒNG: BỒI THƯỜNG BẰNG TIỀN</t>
  </si>
  <si>
    <t>*</t>
  </si>
  <si>
    <t xml:space="preserve">THỬA ĐẤT SỐ 2, MTĐ 5-2023 </t>
  </si>
  <si>
    <t>Cau cảnh</t>
  </si>
  <si>
    <t>Cây có chiều cao 2m, đường kính gốc 20cm</t>
  </si>
  <si>
    <t>GĐ tự trồng</t>
  </si>
  <si>
    <t>2000</t>
  </si>
  <si>
    <t>PL III, QĐ 26/2024</t>
  </si>
  <si>
    <t>Cây sanh</t>
  </si>
  <si>
    <t>Mục 2</t>
  </si>
  <si>
    <t>2005</t>
  </si>
  <si>
    <t>Mục 3</t>
  </si>
  <si>
    <t>PL II, QĐ 26/2024</t>
  </si>
  <si>
    <t>Mục 4</t>
  </si>
  <si>
    <t>Dừa lùn cảnh</t>
  </si>
  <si>
    <t>Cây có chiều cao 0,5 m, đường kính gốc bụi 10cm</t>
  </si>
  <si>
    <t>Mục 5</t>
  </si>
  <si>
    <t>Bụi</t>
  </si>
  <si>
    <t>PHƯƠNG ÁN BỒI THƯỜNG VỀ TÀI SẢN, VẬT KIẾN TRÚC</t>
  </si>
  <si>
    <t>Nhà tôn</t>
  </si>
  <si>
    <t>1994</t>
  </si>
  <si>
    <t>Nền xi măng 6,1*(3,7 +2,7)/2</t>
  </si>
  <si>
    <t>Trừ đi</t>
  </si>
  <si>
    <t>Nền gạch ceramic 40x40cm 6,1*(3,7 +2,7)/2</t>
  </si>
  <si>
    <t>Kết cấu: Bê tông đá 1 x 2 vữa xi măng.  DTXD = DTAH: (9,4 x 2,4)m2.</t>
  </si>
  <si>
    <t>Phần B, II, 3. QĐ 32/2024</t>
  </si>
  <si>
    <t>Kết cấu: Bê tông đá 1 x 2 vữa xi măng.  DTXD = DTAH: (2,1x 2,5)m2.</t>
  </si>
  <si>
    <t>Kết cấu: bê tông cốt thép, ốp gạch, trụ xây gạch ống. DTXD = DTAH: (0,4 x 0,4) x 2,5m (2 trụ).</t>
  </si>
  <si>
    <t>Phần B, VI, 1. QĐ 32/2024</t>
  </si>
  <si>
    <t>ốp gạch ceramic DT: (0,4 x 2,5m)x4 (2 trụ)</t>
  </si>
  <si>
    <t>Phần B, III, 12. QĐ 32/2024</t>
  </si>
  <si>
    <t>Cánh cổng</t>
  </si>
  <si>
    <t>Cửa lùa kết cấu khung sắt.DTXD = DTAH: (3 x 1,7)m2</t>
  </si>
  <si>
    <t>Phần B, XI, 1. QĐ 32/2024</t>
  </si>
  <si>
    <t>Bê tông đá 1 x 2, vữa xi măng. DTXD = DTAH: (9,4 x 1,7)m2</t>
  </si>
  <si>
    <t>Cống bi</t>
  </si>
  <si>
    <t>Đường kính 60cm, 9 cống, 1m/1 cống</t>
  </si>
  <si>
    <t>md</t>
  </si>
  <si>
    <t>1997</t>
  </si>
  <si>
    <t>Phần B, II, 26. QĐ 32/2024</t>
  </si>
  <si>
    <t xml:space="preserve">THỬA ĐẤT SỐ 4, MTĐ 5-2023 </t>
  </si>
  <si>
    <t>Khung sắt trụ 60, xà gồ vì kèo sắt, mái lợp tôn sóng vuông. DTXD: (7x 9)m²;  DTAH: 9m x (1,9m + 3,7m)/2</t>
  </si>
  <si>
    <t>4/2014</t>
  </si>
  <si>
    <t>Kết cấu: Bê tông đã 1 x 2 vữa xi măng.  DTXD = DTAH: 8,7m x 5,9m.</t>
  </si>
  <si>
    <t>Kết cấu: Bê tông đá 1 x 2 vữa xi măng.  DTXD = DTAH: 8,7m x 2m.</t>
  </si>
  <si>
    <t>Kết cấu: bê tông cốt thép, ốp gạch ceramic 4 mặt, xây gạch ống. DTXD = DTAH: (0,4 x 0,4) x 2,5m (2 trụ).</t>
  </si>
  <si>
    <t>ốp gạch ceramic DT: (0,4 x 2,5m) x 4 (2 trụ)</t>
  </si>
  <si>
    <t>Giếng đào</t>
  </si>
  <si>
    <t>Đường kính 1,2m, nắp đậy bê tông, sâu 25m</t>
  </si>
  <si>
    <t>m</t>
  </si>
  <si>
    <t xml:space="preserve">Cổng sắt thoáng </t>
  </si>
  <si>
    <t>Diện tích: dài 3,4m x cao 2,5m</t>
  </si>
  <si>
    <t>TỔNG TIỀN BỒI THƯỜNG, HỖ TRỢ, TÁI ĐỊNH CƯ CỦA ÔNG LẠI VĂN CƯ, BÀ ĐINH THỊ KIM PHƯỢNG</t>
  </si>
  <si>
    <t>PHỤ LỤC 3: PHƯƠNG ÁN  BỒI THƯỜNG, HỖ TRỢ GIẢI PHÓNG MẶT BẰNG BÀ : PHẠM THỊ NGỌC MAI</t>
  </si>
  <si>
    <t>Bà PHẠM THỊ NGỌC MAI, CCCD: 040163017650, ngày cấp: 12/8/2021; ông HOÀNG MẠNH HÀO, CCCD: 001057029511, ngày cấp: 27/12/2021.</t>
  </si>
  <si>
    <t xml:space="preserve">Thôn Đắk Xuân, xã Thuận An, Tỉnh Lâm Đồng </t>
  </si>
  <si>
    <t>Nhà nước công nhận QSDĐ</t>
  </si>
  <si>
    <t xml:space="preserve">THỬA ĐẤT SỐ 6, MTĐ 5-2023 </t>
  </si>
  <si>
    <t xml:space="preserve">Cây có chiều cao 1m </t>
  </si>
  <si>
    <t>2015</t>
  </si>
  <si>
    <t>PHƯƠNG ÁN BỒI THƯỜNG VỀ TÀI SẢN, VẬT KIẾN TRÚC: BỒI THƯỜNG BẰNG TIỀN</t>
  </si>
  <si>
    <t xml:space="preserve">THỬA ĐẤT SỐ 5, MTĐ 5-2023 </t>
  </si>
  <si>
    <t xml:space="preserve">Sân </t>
  </si>
  <si>
    <t>Bê tông đá 4x6, bê tông đá 1x2, vữa xi măng, DTXD=DTAH 10m x 5,6m</t>
  </si>
  <si>
    <t>Phần B, II, 2. QĐ 32/2024</t>
  </si>
  <si>
    <t>Phần B, XIII, 2. QĐ 32/2024</t>
  </si>
  <si>
    <t>Xây gạch ống, cốt thép, DTXD =DTAH (0,3m x 0,3m x 3m) x 2 trụ.</t>
  </si>
  <si>
    <t xml:space="preserve">Cánh cổng khung sắt, DTXD=DTAH (3m x 3m) </t>
  </si>
  <si>
    <t xml:space="preserve">Cánh cổng khung sắt, DTXD=DTAH (2m x 1,2m) </t>
  </si>
  <si>
    <t>Khung trụ sắt phi 60cm, vì kèo sắt, mái lợp tôn, DTXD (10m x 6m), DTAH (2,4m x 8m)/2</t>
  </si>
  <si>
    <t>Phần B, XII, 2. QĐ 32/2024</t>
  </si>
  <si>
    <t>Tấm đan bê tông KT(1 x 1 x 0,1)m³ x 5 tấm, ngoài lộ giới</t>
  </si>
  <si>
    <t>Bờ kè đá hộc (0,2m x 0,5m x 16m) 2 bên, ngoài lộ giới</t>
  </si>
  <si>
    <t>Lối vào</t>
  </si>
  <si>
    <t>Bê tông đá 1x2, vữa xi măng DT (5m x 1,6m), ngoài lộ giới</t>
  </si>
  <si>
    <t>Tường xây gạch ống táp lô (20cm), cao TB 3m, DTXD=DTAH: 15,5m</t>
  </si>
  <si>
    <t>m3</t>
  </si>
  <si>
    <t xml:space="preserve">ốp đá tự nhiên (0,6m x 4m x4) x 2 trụ </t>
  </si>
  <si>
    <t>Phần B, III, 14. QĐ 32/2024</t>
  </si>
  <si>
    <t>Sân bê tông đá 4x6, bê tông đá 1x2, vữa xi măng DTXD=DTAH (17,1m x 3,4m)</t>
  </si>
  <si>
    <t>Bảng hiệu</t>
  </si>
  <si>
    <t>Khung sắt DTXD=DTAH (5m x 1,5m)</t>
  </si>
  <si>
    <t>Phần B, V, 9. QĐ 32/2024</t>
  </si>
  <si>
    <t>Khung sắt DTXD=DTAH (1,2m x 2m)</t>
  </si>
  <si>
    <t>Bê tông đá 4x6, bê tông đá 1x2, vữa xi măng DTXD=DTAH (6,2*5)m, ngoài lộ giới</t>
  </si>
  <si>
    <t xml:space="preserve">Cánh cổng khung sắt 4x8, DTXD=DTAH (4m x 4m) </t>
  </si>
  <si>
    <t>Phi 30cm, 08 cái, kích thước 1m/1 cống</t>
  </si>
  <si>
    <t>Phần B, II, 23. QĐ 32/2024</t>
  </si>
  <si>
    <t>Sân bê tông đá 4x6, bê tông đá 1x2, vữa xi măng DTXD=DTAH (6m x 5,6m)</t>
  </si>
  <si>
    <t>TỔNG TIỀN BỒI THƯỜNG, HỖ TRỢ, TÁI ĐỊNH CƯ CỦA BÀ PHẠM THỊ NGỌC MAI</t>
  </si>
  <si>
    <t>PHỤ LỤC 4: PHƯƠNG ÁN  BỒI THƯỜNG, HỖ TRỢ GIẢI PHÓNG MẶT BẰNG ÔNG: HOÀNG QUỐC CHÍNH</t>
  </si>
  <si>
    <t>Ông HOÀNG QUỐC CHÍNH, CCCD: 0420600016831, ngày cấp: 12/8/2021; bà HOÀNG THỊ HẢI, CCCD: 040162023193, ngày cấp: 12/8/2021.</t>
  </si>
  <si>
    <t>Thôn Đắk Xuân, xã Thuận An, Tỉnh Lâm Đồng (0787592730)</t>
  </si>
  <si>
    <t>Nhận tặng cho được nhà nước công nhận QSDĐ</t>
  </si>
  <si>
    <t xml:space="preserve">THỬA ĐẤT SỐ 9, MTĐ 5-2023 </t>
  </si>
  <si>
    <t>Chuối</t>
  </si>
  <si>
    <t>Có buồng</t>
  </si>
  <si>
    <t>2020</t>
  </si>
  <si>
    <t>Bắp</t>
  </si>
  <si>
    <t>2023</t>
  </si>
  <si>
    <t>m2</t>
  </si>
  <si>
    <t xml:space="preserve">THỬA ĐẤT SỐ 10, MTĐ 5-2023 </t>
  </si>
  <si>
    <t>2010</t>
  </si>
  <si>
    <t>Chè xanh</t>
  </si>
  <si>
    <t>Năm 11</t>
  </si>
  <si>
    <t>Tiêu (trụ sống)</t>
  </si>
  <si>
    <t>Giai đoạn kinh doanh 11-16</t>
  </si>
  <si>
    <t>2013</t>
  </si>
  <si>
    <t>Cau lấy quả</t>
  </si>
  <si>
    <t>&gt;21</t>
  </si>
  <si>
    <t>Gòn</t>
  </si>
  <si>
    <t>7cm≤D≤20cm</t>
  </si>
  <si>
    <t>Thanh Long</t>
  </si>
  <si>
    <t>&gt;3 năm</t>
  </si>
  <si>
    <t>Mục 6</t>
  </si>
  <si>
    <t>2018</t>
  </si>
  <si>
    <t>Dừa cao</t>
  </si>
  <si>
    <t>Mục 7</t>
  </si>
  <si>
    <t>Mục 8</t>
  </si>
  <si>
    <t>Đinh Lăng</t>
  </si>
  <si>
    <t>Mục 9</t>
  </si>
  <si>
    <t>Đu đủ</t>
  </si>
  <si>
    <t>Cây &gt; 1 năm, có &lt; 10 quả</t>
  </si>
  <si>
    <t>Mục 10</t>
  </si>
  <si>
    <t xml:space="preserve">THỬA ĐẤT SỐ 9 MTĐ 5-2023 </t>
  </si>
  <si>
    <t>Lưới B40 không móng, trụ gỗ, cao trung bình 1m. DTXD = DTAH: 10m.</t>
  </si>
  <si>
    <t>PL B, XIII, 7. QĐ 32/2024</t>
  </si>
  <si>
    <t xml:space="preserve">Lưới B40 không móng, trụ gỗ, cao trung bình 1,5m. DTXD = DTAH: 12m. </t>
  </si>
  <si>
    <t>Bê tông đá 4x6, bê tông đá 1x2, vữa xi măng DT (5,6*2,3)m</t>
  </si>
  <si>
    <t>PL B, II, 2. QĐ 32/2024</t>
  </si>
  <si>
    <t xml:space="preserve">Bờ kè </t>
  </si>
  <si>
    <t>Kè xây gạch (0,1 x 0,2 x 5,6)m³  (2 kè)</t>
  </si>
  <si>
    <t>PL B, VI, 3. QĐ 32/2024</t>
  </si>
  <si>
    <t>Xây gạch ống (0,3 x 0,3 x 1,7)m³ x 2 Trụ</t>
  </si>
  <si>
    <t>PL B, VI, 1. QĐ 32/2024</t>
  </si>
  <si>
    <t>Khung sắt lưới B40, 2 cánh DTXD=DTAH (2x1,5)m²</t>
  </si>
  <si>
    <t>Bê tông đá 1x2, vữa xi măng DTXD=DTAH (2,5x3)m², ngoài lộ giới</t>
  </si>
  <si>
    <t>Phi 30cm, 03 cái, 1m/cống, ngoài lộ giới</t>
  </si>
  <si>
    <t>TỔNG TIỀN BỒI THƯỜNG, HỖ TRỢ, TÁI ĐỊNH CƯ CỦA ÔNG HOÀNG QUỐC CHÍNH, BÀ HOÀNG THỊ HẢI</t>
  </si>
  <si>
    <t>PHỤ LỤC 5: PHƯƠNG ÁN  BỒI THƯỜNG, HỖ TRỢ GIẢI PHÓNG MẶT BẰNG ÔNG: ĐỖ VĂN TUYỀN</t>
  </si>
  <si>
    <t>Ông ĐỖ VĂN TUYỀN, CCCD: 034076029092, ngày cấp: 27/12/2021; bà VŨ THỊ LÊ, CCCD: 034182021727, ngày cấp: 12/8/2021.</t>
  </si>
  <si>
    <t>Thôn Đắk Xuân, xã Thuận An, Tỉnh Lâm Đồng (0935739369)</t>
  </si>
  <si>
    <t>Giấy CNQSD đất số BY 061104 cấp ngày 23/7/2015.</t>
  </si>
  <si>
    <t>Bê tông lót đá cấp phối, mặt đổ bê tông đá 1x2.  DTXD: 11m x 5,2m, DTAH: 4,9m x 5,2m.</t>
  </si>
  <si>
    <t>3/2014</t>
  </si>
  <si>
    <t>Tấm đan BTCT</t>
  </si>
  <si>
    <t>Xây đá hộc, làm mương thoát nước dưới tấm đan bê tông. DTXD = DTAH: cao 0,3m, rộng 0,3m, dài 10m (2 bên)</t>
  </si>
  <si>
    <t>Phần B, IX, 3. QĐ 32/2024</t>
  </si>
  <si>
    <t>Đổ bê tông cốt thép: cao 0,7m, 0,65m x 0,65m; ảnh hưởng 2 trụ</t>
  </si>
  <si>
    <t>Phần B, X, 1. QĐ 32/2024</t>
  </si>
  <si>
    <t>Đá cây Bazan làm trụ cổng</t>
  </si>
  <si>
    <t>cao 1,8m, 0,4m x 0,4m; ảnh hưởng 2 trụ</t>
  </si>
  <si>
    <t>Phụ lục B, Mục IX , 1. QĐ 32/2024</t>
  </si>
  <si>
    <t>Dài 5m, cao 2,3m</t>
  </si>
  <si>
    <t>Trường rào</t>
  </si>
  <si>
    <t>TỔNG TIỀN BỒI THƯỜNG, HỖ TRỢ, TÁI ĐỊNH CƯ CỦA ÔNG ĐỖ VĂN TUYỀN</t>
  </si>
  <si>
    <t>PHỤ LỤC 6: PHƯƠNG ÁN  BỒI THƯỜNG, HỖ TRỢ GIẢI PHÓNG MẶT BẰNG ÔNG: NGUYỄN VIỆT CƯỜNG</t>
  </si>
  <si>
    <t>Ông NGUYỄN VIỆT CƯỜNG, CCCD: 067089001867, ngày cấp: 05/11/2022; bà HỒ THỊ MINH NGUYỆT, CCCD: 045189007351, ngày cấp: 05/11/2022.</t>
  </si>
  <si>
    <t>Thôn Đắk Xuân, xã Thuận An, Tỉnh Lâm Đồng (0932796363)</t>
  </si>
  <si>
    <t>Giấy CNQSD đất số CH 07092 cấp ngày 31/5/2022.</t>
  </si>
  <si>
    <t>2017</t>
  </si>
  <si>
    <t>Tường rào sắt thoáng</t>
  </si>
  <si>
    <t>Khung sắt 4x8, song sắt 2x3, rộng 2,2m (2 cánh), cao 2,5m</t>
  </si>
  <si>
    <t>Lát gạch bát tràng, nền bê tông đá 1x2, trên ốp gạch 40x40 bát tràng, DTAH: 7,5x2,2m, tính theo giá gạch tàu</t>
  </si>
  <si>
    <t>Bê tông, KT:1mx1m, dày 10cm (số lượng 12 tấm)</t>
  </si>
  <si>
    <t>Đá hộc, để tấm đan bê tông lên (kết cấu đá hộc, rộng 30cm, cao 70cm, dài 12m (2 bên 24m)</t>
  </si>
  <si>
    <t>2 trụ đá cây, xây gạch, đổ bê tông lên, có tô vữa xi măng, ĐK: 40x40, cao 2,5m (2 trụ)</t>
  </si>
  <si>
    <t>Đá cây kẹp giữa 2 trụ cổng xây gạch</t>
  </si>
  <si>
    <t>KT: 50x50cm, cao 2,5m</t>
  </si>
  <si>
    <t>TỔNG TIỀN BỒI THƯỜNG, HỖ TRỢ, TÁI ĐỊNH CƯ CỦA ÔNG NGUYỄN VIỆT CƯỜNG</t>
  </si>
  <si>
    <t>PHỤ LỤC 7: PHƯƠNG ÁN  BỒI THƯỜNG, HỖ TRỢ GIẢI PHÓNG MẶT BẰNG ÔNG: NGUYỄN VĂN ÁNH</t>
  </si>
  <si>
    <t>Ông NGUYỄN VĂN ÁNH, CCCD: 034060024623, ngày cấp: 09/8/2021; bà ĐỖ THỊ LÀ, CCCD: 034163020589, ngày cấp: 25/8/2021.</t>
  </si>
  <si>
    <t>Thôn Đắk Xuân, xã Thuận An, Tỉnh Lâm Đồng (0794672535)</t>
  </si>
  <si>
    <t>Giấy CNQSD đất số CI 318654 cấp ngày 27/7/2017.</t>
  </si>
  <si>
    <t>PHƯƠNG ÁN BỒI THƯỜNG VỀ CÂY TRỒNG: KHÔNG</t>
  </si>
  <si>
    <t>PHƯƠNG ÁN BỒI THƯỜNG VỀ TÀI SẢN, VẬT KIẾN TRÚC : BẰNG TIỀN</t>
  </si>
  <si>
    <t>Đá hộc, (mương thoát nước đổ tấm đan bê tông) đá hộc rộng 30cm, cao 70cm, dài 5m, 02 bên</t>
  </si>
  <si>
    <t>Phần B, X, 4. QĐ 32/2024</t>
  </si>
  <si>
    <t>Lối vào bê tông</t>
  </si>
  <si>
    <t>Bê tông đá 1x2, cộng xi măng, rộng 3,6m x dài 6m.</t>
  </si>
  <si>
    <t>Phần B, VI, 3. QĐ 32/2024</t>
  </si>
  <si>
    <t>Xây gạch ống trong đổ bê tông bên trong, có tô xi măng, Kt (40cm x 40cm, cao 3m).</t>
  </si>
  <si>
    <t>Cánh cổng sắt thoáng</t>
  </si>
  <si>
    <t>Cánh cổng sắt thoáng, khung sắt 4x6, song sắt 1x2, có thưng tôn lửng cao 1,6m, rộng 3,5m, cao 2,4m</t>
  </si>
  <si>
    <t>Bờ rào</t>
  </si>
  <si>
    <t>TỔNG TIỀN BỒI THƯỜNG, HỖ TRỢ, TÁI ĐỊNH CƯ CỦA ÔNG NGUYỄN VĂN ÁNH</t>
  </si>
  <si>
    <t>PHỤ LỤC 8: PHƯƠNG ÁN  BỒI THƯỜNG, HỖ TRỢ GIẢI PHÓNG MẶT BẰNG ÔNG TRẦN VĂN SƠN, BÀ LÊ THỊ TIẾN</t>
  </si>
  <si>
    <t>Thôn Đắk Xuân, xã Thuận An, Tỉnh Lâm Đồng (0982533130)</t>
  </si>
  <si>
    <t>Giấy CNQSD đất số BG 947548 cấp ngày 08/8/2011.</t>
  </si>
  <si>
    <t>Đào cảnh</t>
  </si>
  <si>
    <t>2008</t>
  </si>
  <si>
    <t>Lựu</t>
  </si>
  <si>
    <t>PL III, 12. QĐ 26/2024</t>
  </si>
  <si>
    <t>Đường kính gốc 0,15 m, cao 2m</t>
  </si>
  <si>
    <t>2007</t>
  </si>
  <si>
    <t>Chắn đất: xây đá hộc, có giằng bê tông cốt thép rộng TB 0,7m, cao TB 2,5m, dài 3,4m (xây dựng ở cổng vào)</t>
  </si>
  <si>
    <t>Xây gạch ống có tô trát, sơn bả hoàn thiện. Diện tích 0,4m x 0,4m x cao 2,4m (ảnh hưởng 2 trụ)</t>
  </si>
  <si>
    <t>Ốp trụ cổng loại gạch 7cm x 20cm. Diện tích: cao 2,4m x 0,4m x 3 mặt (1 trụ) x 2 trụ (loại gạch thẻ).</t>
  </si>
  <si>
    <t>Cổng kéo. Kích thước: dài 3,4m x cao 2,1m</t>
  </si>
  <si>
    <t>Cầu đổ bê tông cốt thép</t>
  </si>
  <si>
    <t>bê tông cốt thép (lối vào nhà ở tầng 2). Diện tích: 5,6m x 2,7m x dày 0,15m.</t>
  </si>
  <si>
    <t>Lan can</t>
  </si>
  <si>
    <t>Phần B, V, 2. QĐ 32/2024</t>
  </si>
  <si>
    <t>chân có xây gạch ống, sơn bả hoàn thiện (cao 0,25m, rộng 10cm, dài 11,2m)</t>
  </si>
  <si>
    <t>Xây gạch ống có tô vữa xi măng. Diện tích: 0,3m x 0,3m x 2m (1 trụ)</t>
  </si>
  <si>
    <t>Kích thước cao 1,7m x dài 1,8m x 2 cánh</t>
  </si>
  <si>
    <t>Hai bên lối vào: xây đá hộc, cao trung 0,7m, dài 10m (2 bên), dày 0,3m</t>
  </si>
  <si>
    <t>Bê tông đá 1 x 2. DTXD: 7m x 2,6m; DTAH: 5m x 2,6m</t>
  </si>
  <si>
    <t>Bể nuôi cá</t>
  </si>
  <si>
    <t>Xây gạch ống 10cm, có tô vữa xi măng, đánh màu, đáy đổ bê tông dày 10cm; cao 0,7m, rộng 4,5m, dài 3,9m.</t>
  </si>
  <si>
    <t>Phần B, V, 4. QĐ 32/2024</t>
  </si>
  <si>
    <t>Đáy đổ bê tông dày 10cm, rộng 4,5m, dài 3,9m</t>
  </si>
  <si>
    <t>Phần B,Mục II, STT 3 QĐ 32/2024</t>
  </si>
  <si>
    <t>Đường kính 0,8m, sâu 10m</t>
  </si>
  <si>
    <t>Nắp đậy bê tông</t>
  </si>
  <si>
    <t>Nắp đậy bê tông của giếng đào. Đường kính 1,2m, dày 0,05m (nắp tròn)</t>
  </si>
  <si>
    <t>Phần B, X , 4 QĐ 32/2024</t>
  </si>
  <si>
    <t>Lát gạch ceramic loại 0,5m x 0,5m; DTAH 1m x 8,1m</t>
  </si>
  <si>
    <t>TỔNG TIỀN BỒI THƯỜNG, HỖ TRỢ, TÁI ĐỊNH CƯ CỦA ÔNG TRẦN VĂN SƠN, BÀ LÊ THỊ TIẾN</t>
  </si>
  <si>
    <t>PHỤ LỤC 9: PHƯƠNG ÁN  BỒI THƯỜNG, HỖ TRỢ GIẢI PHÓNG MẶT BẰNG ÔNG TRẦN THUỶ</t>
  </si>
  <si>
    <t>Ông TRẦN THUỶ, CCCD: 042074008513, ngày cấp: 12/8/2021.</t>
  </si>
  <si>
    <t>Thôn Đắk Xuân, xã Thuận An, Tỉnh Lâm Đồng (0981306147)</t>
  </si>
  <si>
    <t>Giấy CNQSD đất số DA 185642 cấp ngày 31/5/2021.</t>
  </si>
  <si>
    <t>Chắn đất: Xây đá hộc, có đổ giằng bê tông cốt thép, cao trung bình 2m, rộng trung bình 0,5m, chiều dài ảnh hưởng 5,3m</t>
  </si>
  <si>
    <t>2022</t>
  </si>
  <si>
    <t>Gắn trên bờ kè: Lưới B40, trụ sắt V5, cao 1m, dài ảnh hưởng 5,3m</t>
  </si>
  <si>
    <t>TỔNG TIỀN BỒI THƯỜNG, HỖ TRỢ, TÁI ĐỊNH CƯ CỦA ÔNG TRẦN THUỶ</t>
  </si>
  <si>
    <t>PHỤ LỤC 10: PHƯƠNG ÁN  BỒI THƯỜNG, HỖ TRỢ GIẢI PHÓNG MẶT BẰNG ÔNG NGUYỄN VĂN HẢI, BÀ VI THỊ THÚY HỒNG</t>
  </si>
  <si>
    <t>Ông NGUYỄN VĂN HẢI, CCCD: 040082011363; bà VI THỊ THUÝ HỒNG, CCCC số: 067190003056.</t>
  </si>
  <si>
    <t>Thôn Đắk Xuân, xã Thuận An, Tỉnh Lâm Đồng</t>
  </si>
  <si>
    <t>Giấy CNQSD đất số DB 131789 cấp ngày 19/1/2022 và số BY 119754 cấp ngày 14/5/2015,</t>
  </si>
  <si>
    <t>Tấm đan bê tông</t>
  </si>
  <si>
    <t>Tấm đan bê tông cốt thép (lối vào) DT: 1m x 1m x 6 tấm x dày 0,1m</t>
  </si>
  <si>
    <t>Bê tông đá 1x2 (lối vào) DTAH 1m x 6m</t>
  </si>
  <si>
    <t>TỔNG TIỀN BỒI THƯỜNG, HỖ TRỢ, TÁI ĐỊNH CƯ CỦA ÔNG NGUYỄN VĂN HẢI, BÀ VI THỊ THÚY HỒNG</t>
  </si>
  <si>
    <t>PHỤ LỤC 11: PHƯƠNG ÁN  BỒI THƯỜNG, HỖ TRỢ GIẢI PHÓNG MẶT BẰNG BÀ PHẠM THỊ THU THUÝ</t>
  </si>
  <si>
    <t>Bà PHẠM THỊ THU THUÝ, CCCD: 067185002245, cấp ngày: 09/8/2021; Ông TRẦN VIẾT CƯỜNG, CCCD: 067084002699, cấp ngày: 12/8/2021.</t>
  </si>
  <si>
    <t>Thôn Đắk Xuân, xã Thuận An, Tỉnh Lâm Đồng. (0967149405)</t>
  </si>
  <si>
    <t>Giấy CNQSD đất số CA 901522 cấp ngày 11/01/2016.</t>
  </si>
  <si>
    <t>Mắc ca</t>
  </si>
  <si>
    <t>Giai đoạn kinh doanh ≥ 21</t>
  </si>
  <si>
    <t>PL II, 2.2. QĐ 26/2024</t>
  </si>
  <si>
    <t>Bơ ghép</t>
  </si>
  <si>
    <t>Tiêu trụ gỗ</t>
  </si>
  <si>
    <t>Lưới B40. Cao 1,5m, trụ sắt V5, không móng, dài xây dựng 30m, chiều dài ảnh hưởng 11m.</t>
  </si>
  <si>
    <t>Phần B, XIII, 7. QĐ 32/2024</t>
  </si>
  <si>
    <t>TỔNG TIỀN BỒI THƯỜNG, HỖ TRỢ, TÁI ĐỊNH CƯ CỦA BÀ PHẠM THỊ THU THUÝ</t>
  </si>
  <si>
    <t>PHỤ LỤC 12: PHƯƠNG ÁN  BỒI THƯỜNG, HỖ TRỢ GIẢI PHÓNG MẶT BẰNG BÀ PHẠM THỊ THANH VÂN</t>
  </si>
  <si>
    <t>12</t>
  </si>
  <si>
    <t>Bà PHẠM THỊ THANH VÂN, CCCD: 067183003171, cấp ngày: 09/8/2021; Ông HOÀNG VĂN BỒNG, CCCD: 004083007672, cấp ngày: 09/8/2021.</t>
  </si>
  <si>
    <t>Thôn Đắk Xuân, xã Thuận An, Tỉnh Lâm Đồng. (0919032514)</t>
  </si>
  <si>
    <t>Giấy CNQSD đất số CA 901523 cấp ngày 11/01/2016.</t>
  </si>
  <si>
    <t>Bơ</t>
  </si>
  <si>
    <t>PL II QĐ 26/2024</t>
  </si>
  <si>
    <t>Lưới B40. Cao 1,5m, trụ sắt V5, không móng, dài 6m,</t>
  </si>
  <si>
    <t>TỔNG TIỀN BỒI THƯỜNG, HỖ TRỢ, TÁI ĐỊNH CƯ CỦA BÀ PHẠM THỊ THANH VÂN</t>
  </si>
  <si>
    <t>PHỤ LỤC 13: PHƯƠNG ÁN  BỒI THƯỜNG, HỖ TRỢ GIẢI PHÓNG MẶT BẰNG ÔNG PHẠM MINH HIỂN</t>
  </si>
  <si>
    <t>13</t>
  </si>
  <si>
    <t>Ông PHẠM MINH HIỂN, CCCD: 067092005395, cấp ngày: 28/6/2021</t>
  </si>
  <si>
    <t>Thôn Đắk Xuân, xã Thuận An, Tỉnh Lâm Đồng. (0379018988)</t>
  </si>
  <si>
    <t>Nhận thừa kế</t>
  </si>
  <si>
    <t>Giấy CNQSD đất số CA 901524 cấp ngày 11/01/2016.</t>
  </si>
  <si>
    <t>Sầu riêng thường</t>
  </si>
  <si>
    <t>1995</t>
  </si>
  <si>
    <t>Mai cảnh</t>
  </si>
  <si>
    <t>Đường kính gốc 5-10cm, cao 2m</t>
  </si>
  <si>
    <t>PL III QĐ 26/2024</t>
  </si>
  <si>
    <t>Huyền điệp (Hoàng nam)</t>
  </si>
  <si>
    <t>Đường kính gốc 0,25m, cao 5m</t>
  </si>
  <si>
    <t>Bê tông đá 1 x 2, vữa xi măng. DTXD=DTAH: 6,4m x 3,2m</t>
  </si>
  <si>
    <t>Làm mương nước: xây đá hộc cao trung bình 0,5m, dày 0,3m, dài 6,4m (2 bên, 1 bên 3,2m)</t>
  </si>
  <si>
    <t>1991</t>
  </si>
  <si>
    <t>Lưới B40, trụ sắt V5, cao 1,5m, dài 9m.</t>
  </si>
  <si>
    <t>móng xây đá hộc: rộng 0,2m, cao trung bình 0,3m, dài 9m.</t>
  </si>
  <si>
    <t>Phần B, IX, 2. QĐ 32/2024</t>
  </si>
  <si>
    <t>Xây gạch ống, cốt thép. Diện tích: 0,5m x 0,5m x 3m (ảnh hưởng 2 trụ)</t>
  </si>
  <si>
    <t>Ốp trụ cổng loại gạch 10cm x 20cm. Diện tích: 0,5m x cao 2,5m x 4 mặt x 2trụ, tính theo giá gạch thẻ</t>
  </si>
  <si>
    <t>Phần B, III. QĐ 32/2024</t>
  </si>
  <si>
    <t>Kích thước: 3,5m x 2m</t>
  </si>
  <si>
    <t>Khung cột sắt, vì kèo sắt, mái lợp tôn. DTXD: 10,5m x 5m; DTAH: 10,5m x 2,7m</t>
  </si>
  <si>
    <t>Xây đá hộc chắn đất, giằng bê tông cốt thép. Cao trung bình 1,9m, chiều dài xây dựng 5,3m, chiều dài ảnh hưởng 2,5m, dày 0,4m</t>
  </si>
  <si>
    <t>Bê tông đá 1x 2 vữa xi măng. DTXD: 5,3m x 19m. DTAH 2,5m x 19m</t>
  </si>
  <si>
    <t>TỔNG TIỀN BỒI THƯỜNG, HỖ TRỢ, TÁI ĐỊNH CƯ CỦA ÔNG PHẠM MINH HIỂN</t>
  </si>
  <si>
    <t>PHỤ LỤC 14: PHƯƠNG ÁN  BỒI THƯỜNG, HỖ TRỢ GIẢI PHÓNG MẶT BẰNG ÔNG NGÔ NGỌC HOÀNG</t>
  </si>
  <si>
    <t>14</t>
  </si>
  <si>
    <t>Ông NGÔ NGỌC HOÀNG, CCCD: 067092005395, cấp ngày: 28/6/2021; Đặng Thị Như Phương, CCCD: 052182008328, ngày cấp: 25/8/2021</t>
  </si>
  <si>
    <t>Thôn Đắk Xuân, xã Thuận An, Tỉnh Lâm Đồng (0379018988)</t>
  </si>
  <si>
    <t>Lộc vừng</t>
  </si>
  <si>
    <t>Đường kính gốc ≥ 7cm, cao &gt; 1,5m</t>
  </si>
  <si>
    <t>Chè</t>
  </si>
  <si>
    <t>TỔNG TIỀN BỒI THƯỜNG, HỖ TRỢ, TÁI ĐỊNH CƯ CỦA ÔNG NGÔ NGỌC HOÀNG</t>
  </si>
  <si>
    <t>PHỤ LỤC 15: PHƯƠNG ÁN  BỒI THƯỜNG, HỖ TRỢ GIẢI PHÓNG MẶT BẰNG ÔNG NGÔ VĂN TRANG</t>
  </si>
  <si>
    <t>15</t>
  </si>
  <si>
    <t>Ông NGÔ VĂN TRANG, CCCD: 036078013937, cấp ngày: 28/6/2021; Mai Thị Thu Ngân, CCCD: 037180011987, ngày cấp: 28/6/2021</t>
  </si>
  <si>
    <t>Thôn Đắk Xuân, xã Thuận An, Tỉnh Lâm Đồng. (0978.514.914-0989.344.102)</t>
  </si>
  <si>
    <t>Nhận tặng cho</t>
  </si>
  <si>
    <t>Giấy CNQSD đất số BA 691587 cấp ngày 26/12/2010.</t>
  </si>
  <si>
    <t>1996</t>
  </si>
  <si>
    <t>Xây gạch ống, có tô vữa xi măng (2 trụ). Diện tích:  0,4m x 0,4m x cao 2m</t>
  </si>
  <si>
    <t>Dài: 3m x cao 2,1m</t>
  </si>
  <si>
    <t>Nhà ở</t>
  </si>
  <si>
    <t>Phần A, Mục V, STT V.1.3 QĐ 32/2024</t>
  </si>
  <si>
    <t>Không trần tôn lạnh</t>
  </si>
  <si>
    <t>Chênh lệch giữa nền gạch ceramic 40x40cm là 262.000 đồng/m² và nền gạch ceramic 30x30cm là 256.000 đồng/m².</t>
  </si>
  <si>
    <t>Gạch ceramic</t>
  </si>
  <si>
    <t>Ốp tường mặt trước loại gạch 0,2m x 0,25m. Diện tích: (1,8m x 3,3m) + (1,8m x 3,3m)</t>
  </si>
  <si>
    <t>Phần B, Mục III, 12. QĐ 32/2024</t>
  </si>
  <si>
    <t>TỔNG TIỀN BỒI THƯỜNG, HỖ TRỢ, TÁI ĐỊNH CƯ CỦA ÔNG NGÔ VĂN TRANG</t>
  </si>
  <si>
    <t>PHỤ LỤC 16: PHƯƠNG ÁN  BỒI THƯỜNG, HỖ TRỢ GIẢI PHÓNG MẶT BẰNG ÔNG LÊ VĂN TÂM</t>
  </si>
  <si>
    <t>16</t>
  </si>
  <si>
    <t>Ông LÊ VĂN TÂM, CCCD: 046090016267, cấp ngày: 18/11/2022;</t>
  </si>
  <si>
    <t>Thôn Trung Cọ Mè, Phong Hoà, Phong Đình, Thừa Thiên Huế. (0978.514.914-0989.344.102)</t>
  </si>
  <si>
    <t>Giấy CNQSD đất số CA 935901 cấp ngày 24/02/2016.</t>
  </si>
  <si>
    <t>2016</t>
  </si>
  <si>
    <t>TỔNG TIỀN BỒI THƯỜNG, HỖ TRỢ, TÁI ĐỊNH CƯ CỦA ÔNG LÊ VĂN TÂM</t>
  </si>
  <si>
    <t>PHỤ LỤC 17: PHƯƠNG ÁN  BỒI THƯỜNG, HỖ TRỢ GIẢI PHÓNG MẶT BẰNG BÀ VŨ THỊ THUỲ</t>
  </si>
  <si>
    <t>17</t>
  </si>
  <si>
    <t>Bà VŨ THỊ THUỲ, CCCD: 067189001825, cấp ngày: 10/02/2022;</t>
  </si>
  <si>
    <t>Thôn Đắk Xuân, xã Thuận An, Tỉnh Lâm Đồng. (0909371774)</t>
  </si>
  <si>
    <t>Giấy CNQSD đất số DI 160721 cấp ngày 218/5/2023.</t>
  </si>
  <si>
    <t>3/2004</t>
  </si>
  <si>
    <t xml:space="preserve">Xây gạch ống, tô vữa xi măng DT 0,3m x 0,3m x cao 2m x 01 trụ </t>
  </si>
  <si>
    <t>Cổng sắt. DT: dài 2,9m x cao 2m</t>
  </si>
  <si>
    <t>Sân xi măng</t>
  </si>
  <si>
    <t>Vữa xi măng. DT: 3,4m x 5m</t>
  </si>
  <si>
    <t>Phần B, II, 4. QĐ 32/2024</t>
  </si>
  <si>
    <t>Khung cột sắt, vì kèo sắt, mái lợp tôn DT (4,7m x 3,4m)</t>
  </si>
  <si>
    <t>Phần B, IV.2, 2. QĐ 32/2024</t>
  </si>
  <si>
    <t>TỔNG TIỀN BỒI THƯỜNG, HỖ TRỢ, TÁI ĐỊNH CƯ CỦA BÀ VŨ THỊ THUỲ</t>
  </si>
  <si>
    <t>PHỤ LỤC 18: PHƯƠNG ÁN  BỒI THƯỜNG, HỖ TRỢ GIẢI PHÓNG MẶT BẰNG ÔNG VŨ MINH QUÝ, BÀ NGUYỄN THỊ PHƯỢNG</t>
  </si>
  <si>
    <t>18</t>
  </si>
  <si>
    <t>Ông VŨ MINH QUÝ, CCCD: 036062019244, cấp ngày: 12/8/2021; Bà NGUYỄN THỊ PHƯỢNG, CCCD: 040167019334, cấp ngày: 27/12/2021</t>
  </si>
  <si>
    <t>Thôn Đắk Xuân, xã Thuận An, Tỉnh Lâm Đồng. (0914090106)</t>
  </si>
  <si>
    <t>Giấy CNQSD đất số DI 160722 cấp ngày 18/5/2023.</t>
  </si>
  <si>
    <t>Đường kính gốc 0,15m, cao 2,5m</t>
  </si>
  <si>
    <t>Chùm ngây</t>
  </si>
  <si>
    <t>Đường kính gốc 0,1m</t>
  </si>
  <si>
    <t>Mận</t>
  </si>
  <si>
    <t xml:space="preserve">Bơ </t>
  </si>
  <si>
    <t>Cao &gt; 1m</t>
  </si>
  <si>
    <t>Quất</t>
  </si>
  <si>
    <t>Diện tích: dài 3,1m x cao 2m</t>
  </si>
  <si>
    <t>Xây gạch ống có tô vữa xi măng. Diện tích 0,3m x 0,3m x cao 2,2m x 2 trụ.</t>
  </si>
  <si>
    <t>Diện tích: dài 2,3m x cao 1,7m</t>
  </si>
  <si>
    <t>Xi măng. Diện tích: 3,4m x 8m</t>
  </si>
  <si>
    <t xml:space="preserve"> Lát gạch bát tràng 0,4m x 0,4m. Diện tích:4,4m x 8m </t>
  </si>
  <si>
    <t>Phần B, II, 8. QĐ 32/2024</t>
  </si>
  <si>
    <t>Bó vỉa</t>
  </si>
  <si>
    <t>Xây gạch ống, tô vữa xi măng dày 0,15m, cao 0,3m, chiều dài XD: 12,6m, chiều dài ảnh hưởng 9,2m</t>
  </si>
  <si>
    <t xml:space="preserve">Xây gạch ống ốp gạch ceramic: 0,6m x 0,3m. Diện tích: cao 0,6m x 0,3m x 0,3m </t>
  </si>
  <si>
    <t>TỔNG TIỀN BỒI THƯỜNG, HỖ TRỢ, TÁI ĐỊNH CƯ CỦA ÔNG VŨ MINH QUÝ, BÀ NGUYỄN THỊ PHƯỢNG</t>
  </si>
  <si>
    <t>PHỤ LỤC 19: PHƯƠNG ÁN  BỒI THƯỜNG, HỖ TRỢ GIẢI PHÓNG MẶT BẰNG ÔNG HUỲNH THÀNH NIỆM</t>
  </si>
  <si>
    <r>
      <rPr>
        <b/>
        <sz val="12"/>
        <color theme="1"/>
        <rFont val="Times New Roman"/>
        <family val="1"/>
      </rPr>
      <t>Tổng diện tích đất đang sử dụng (m</t>
    </r>
    <r>
      <rPr>
        <b/>
        <vertAlign val="superscript"/>
        <sz val="12"/>
        <color theme="1"/>
        <rFont val="Times New Roman"/>
        <family val="1"/>
      </rPr>
      <t>2</t>
    </r>
    <r>
      <rPr>
        <b/>
        <sz val="12"/>
        <color theme="1"/>
        <rFont val="Times New Roman"/>
        <family val="1"/>
      </rPr>
      <t>)</t>
    </r>
  </si>
  <si>
    <r>
      <rPr>
        <b/>
        <sz val="12"/>
        <color theme="1"/>
        <rFont val="Times New Roman"/>
        <family val="1"/>
      </rPr>
      <t>Tổng diện tích thửa đất bị thu hồi (m</t>
    </r>
    <r>
      <rPr>
        <b/>
        <vertAlign val="superscript"/>
        <sz val="12"/>
        <color theme="1"/>
        <rFont val="Times New Roman"/>
        <family val="1"/>
      </rPr>
      <t>2</t>
    </r>
    <r>
      <rPr>
        <b/>
        <sz val="12"/>
        <color theme="1"/>
        <rFont val="Times New Roman"/>
        <family val="1"/>
      </rPr>
      <t>)</t>
    </r>
  </si>
  <si>
    <r>
      <rPr>
        <b/>
        <sz val="12"/>
        <color theme="1"/>
        <rFont val="Times New Roman"/>
        <family val="1"/>
      </rPr>
      <t>Diện tích đất bị thu hồi (m</t>
    </r>
    <r>
      <rPr>
        <b/>
        <vertAlign val="superscript"/>
        <sz val="12"/>
        <color theme="1"/>
        <rFont val="Times New Roman"/>
        <family val="1"/>
      </rPr>
      <t>2</t>
    </r>
    <r>
      <rPr>
        <b/>
        <sz val="12"/>
        <color theme="1"/>
        <rFont val="Times New Roman"/>
        <family val="1"/>
      </rPr>
      <t>)</t>
    </r>
  </si>
  <si>
    <r>
      <rPr>
        <b/>
        <sz val="12"/>
        <color theme="1"/>
        <rFont val="Times New Roman"/>
        <family val="1"/>
      </rPr>
      <t>Đất ở (m</t>
    </r>
    <r>
      <rPr>
        <b/>
        <vertAlign val="superscript"/>
        <sz val="12"/>
        <color theme="1"/>
        <rFont val="Times New Roman"/>
        <family val="1"/>
      </rPr>
      <t>2</t>
    </r>
    <r>
      <rPr>
        <b/>
        <sz val="12"/>
        <color theme="1"/>
        <rFont val="Times New Roman"/>
        <family val="1"/>
      </rPr>
      <t>)</t>
    </r>
  </si>
  <si>
    <r>
      <rPr>
        <b/>
        <sz val="12"/>
        <color theme="1"/>
        <rFont val="Times New Roman"/>
        <family val="1"/>
      </rPr>
      <t>Đất nông nghiệp (m</t>
    </r>
    <r>
      <rPr>
        <b/>
        <vertAlign val="superscript"/>
        <sz val="12"/>
        <color theme="1"/>
        <rFont val="Times New Roman"/>
        <family val="1"/>
      </rPr>
      <t>2</t>
    </r>
    <r>
      <rPr>
        <b/>
        <sz val="12"/>
        <color theme="1"/>
        <rFont val="Times New Roman"/>
        <family val="1"/>
      </rPr>
      <t>)</t>
    </r>
  </si>
  <si>
    <t>19</t>
  </si>
  <si>
    <t>Ông HUỲNH THÀNH NIỆM, CCCD: 046052006852, cấp ngày: 9/8/2021.</t>
  </si>
  <si>
    <t>Thôn Đắk Xuân, xã Thuận An, Tỉnh Lâm Đồng. (0334239124)</t>
  </si>
  <si>
    <t>Giấy CNQSD đất số CD 242717 cấp ngày 01/6/2016 và số CI 511314 cấp ngày 21/7/2017</t>
  </si>
  <si>
    <r>
      <rPr>
        <b/>
        <sz val="12"/>
        <color theme="1"/>
        <rFont val="Times New Roman"/>
        <family val="1"/>
      </rPr>
      <t>Diện tích chiếm đất (m</t>
    </r>
    <r>
      <rPr>
        <b/>
        <vertAlign val="superscript"/>
        <sz val="12"/>
        <color theme="1"/>
        <rFont val="Times New Roman"/>
        <family val="1"/>
      </rPr>
      <t>2</t>
    </r>
    <r>
      <rPr>
        <b/>
        <sz val="12"/>
        <color theme="1"/>
        <rFont val="Times New Roman"/>
        <family val="1"/>
      </rPr>
      <t>)</t>
    </r>
  </si>
  <si>
    <t>Phát tài</t>
  </si>
  <si>
    <t>Đinh lăng</t>
  </si>
  <si>
    <t>Giai đoạn kinh doanh 17-20</t>
  </si>
  <si>
    <t>Đường kính gốc 0,2m, cao 2m</t>
  </si>
  <si>
    <t>Chanh</t>
  </si>
  <si>
    <t>2019</t>
  </si>
  <si>
    <t xml:space="preserve">Phục vụ buôn bán. Kết cấu: móng xây gạch, nền xi măng, khung cột sắt, vách thưng tôn, mái lợp tôn, cửa khung sắt và tôn. Vách tôn cao 3,5m. DTXD: 5m x 5,6m; DTAH: 5m x 4,9. </t>
  </si>
  <si>
    <t xml:space="preserve">Chênh lệch giữa nền gạch ceramic 40x40cm đơn giá 248.000 đồng/m² và nền xi măng đơn giá là 103.000 đồng/m² </t>
  </si>
  <si>
    <t>Xi măng. Diện tích: dài 1,6m x 3m</t>
  </si>
  <si>
    <t>Xây gạch ống, cốt thép, sơn nước hoàn thiện. Diện tích: 0,4m x 0,4m x cao 2,1m x 02trụ</t>
  </si>
  <si>
    <t xml:space="preserve"> Diện tích: cao 1,7m x dài 3m</t>
  </si>
  <si>
    <t>Xây gạch ống, cốt thép, sơn nước hoàn thiện. Diện tích: 0,3m x 0,3m x 1,85m x 01 trụ</t>
  </si>
  <si>
    <t>Diện tích: dài 1,35 x cao 1,85m</t>
  </si>
  <si>
    <t xml:space="preserve">Lát gạch bát tràng (30cm x 30cm) + vữa xi măng. Diện tích dài 5m x rộng 5,1m. </t>
  </si>
  <si>
    <t>Khung cột sắt, vì kèo sắt, mái lợp tôn sóng vuông. DTXD; rộng 5,1m x dài 7m. DTAH: rộng 5,1m x 5,5m</t>
  </si>
  <si>
    <t>Sắt thoáng. DTXD: cao 0,93m x dài 4,2m. DTAH: cao 0,93 x dài 2,8m</t>
  </si>
  <si>
    <t>Lưới B40, không móng, trụ gỗ. DTXD=DTAH: dài 5,5m x cao 1,5m</t>
  </si>
  <si>
    <t>TỔNG TIỀN BỒI THƯỜNG, HỖ TRỢ, TÁI ĐỊNH CƯ CỦA ÔNG HUỲNH THÀNH NIỆM</t>
  </si>
  <si>
    <t>PHỤ LỤC 20: PHƯƠNG ÁN  BỒI THƯỜNG, HỖ TRỢ GIẢI PHÓNG MẶT BẰNG ÔNG NGUYỄN DUY HẢI, BÀ NGUYỄN THỊ KIM PHƯỢNG</t>
  </si>
  <si>
    <t>20</t>
  </si>
  <si>
    <t>Ông Nguyễn Duy Hải, CCCD số 019092008126; Bà Nguyễn Thị Kim Phượng, CCCD số 067194006731, cấp ngày: 12/8/2021.</t>
  </si>
  <si>
    <t>Giấy CNQSD đất số CI 511313 cấp ngày 21/7/2017</t>
  </si>
  <si>
    <t>2021</t>
  </si>
  <si>
    <t>Xây gạch ống, tô vữa xi măng dày 10cm, cao 40cm, chiều dài 5,7m</t>
  </si>
  <si>
    <t>Xây gạch ống, tô vữa xi măng dày 0,1m, cao 0,1m, chiều dài  5,7m</t>
  </si>
  <si>
    <t>TỔNG TIỀN BỒI THƯỜNG, HỖ TRỢ, TÁI ĐỊNH CƯ CỦA ÔNG NGUYỄN DUY HẢI</t>
  </si>
  <si>
    <t>PHỤ LỤC 21: PHƯƠNG ÁN  BỒI THƯỜNG, HỖ TRỢ GIẢI PHÓNG MẶT BẰNG ÔNG LÊ VĂN LUYẾN</t>
  </si>
  <si>
    <t>21</t>
  </si>
  <si>
    <t>Ông Lê Văn Luyến, CCCD số 046084013482, cấp ngày: 18/6/2021; Bà Phạm Thị Minh Trinh, CCCD số 067193003844, cấp ngày: 09/8/2021.</t>
  </si>
  <si>
    <t>Giấy CNQSD đất số CI 511312 cấp ngày 21/7/2017</t>
  </si>
  <si>
    <t xml:space="preserve"> Bê tông. DTXD=DTAH: dài 3,1m x 3m</t>
  </si>
  <si>
    <t>Xây gạch ống, không tô, cốt thép. Diện tích:0,25m x 0,25m x cao 2m x 2trụ</t>
  </si>
  <si>
    <t>Diện tích: cao 1,85m x dài 2,15m</t>
  </si>
  <si>
    <t>Thưng vách tôn, khung xương sắt. DTXD: dài 2m x cao 3,2m. DTAH cao 3,2m x dài 0,6m</t>
  </si>
  <si>
    <t xml:space="preserve">Lưới B40, Khung sắt thoáng phía trên lưới B40 (cao 1,5m); trụ sắt; chiều dài xây dựng: 6,8m, chiều dài ảnh hưởng: 5,6m. </t>
  </si>
  <si>
    <t>Móng xây gạch ống 10cm, cao 40cm, dài 5,6m</t>
  </si>
  <si>
    <t>Khung cột sắt, vì kèo sắt, mái lợp tôn. DTXD: dài 6,8m x rộng 5m; DTAH: dài 5,6m x rộng 5m</t>
  </si>
  <si>
    <t>Xi măng. DTXD: dài 6,8 x rộng 5m; DTAH: dài 5,6 x rộng 5m</t>
  </si>
  <si>
    <t>TỔNG TIỀN BỒI THƯỜNG, HỖ TRỢ, TÁI ĐỊNH CƯ CỦA ÔNG LÊ VĂN LUYẾN</t>
  </si>
  <si>
    <t>PHỤ LỤC 22: PHƯƠNG ÁN  BỒI THƯỜNG, HỖ TRỢ GIẢI PHÓNG MẶT BẰNG BÀ ĐỒNG THỊ MINH PHƯỢNG</t>
  </si>
  <si>
    <t>22</t>
  </si>
  <si>
    <t>Bà Đồng Thị Minh Phượng, CCCD số 067186000160, cấp ngày: 15/4/2021.</t>
  </si>
  <si>
    <t>Giấy CNQSD đất số CS 446758 cấp ngày 06/10/2020</t>
  </si>
  <si>
    <t>PHƯƠNG ÁN BỒI THƯỜNG VỀ TÀI SẢN, VẬT KIẾN TRÚC: KHÔNG</t>
  </si>
  <si>
    <t>TỔNG TIỀN BỒI THƯỜNG, HỖ TRỢ, TÁI ĐỊNH CƯ CỦA BÀ ĐỒNG THỊ MINH PHƯỢNG</t>
  </si>
  <si>
    <t>PHỤ LỤC 23: PHƯƠNG ÁN  BỒI THƯỜNG, HỖ TRỢ GIẢI PHÓNG MẶT BẰNG BÀ LÊ THỊ THU HUYỀN</t>
  </si>
  <si>
    <t>23</t>
  </si>
  <si>
    <t>Bà Lê Thị Thu Huyền, CCCD số 067185001830, cấp ngày: 12/8/2021.</t>
  </si>
  <si>
    <t>Giấy CNQSD đất số CN 243059 cấp ngày 6/4/2018 và DI 160764 cấp ngày 15/6/2023</t>
  </si>
  <si>
    <t>Tài sản thửa đất số 22/6-2023</t>
  </si>
  <si>
    <t>PL VI, 3. QĐ 32/2024</t>
  </si>
  <si>
    <t>Lát vữa xi măng DTXD=DTAH: 4,1m x 4,9m</t>
  </si>
  <si>
    <t>PL II, 4. QĐ 32/2024</t>
  </si>
  <si>
    <t>TỔNG TIỀN BỒI THƯỜNG, HỖ TRỢ, TÁI ĐỊNH CƯ CỦA BÀ LÊ THỊ HUYỀN</t>
  </si>
  <si>
    <t>PHỤ LỤC 24: PHƯƠNG ÁN  BỒI THƯỜNG, HỖ TRỢ GIẢI PHÓNG MẶT BẰNG ÔNG LÊ VĂN KHANG</t>
  </si>
  <si>
    <t>24</t>
  </si>
  <si>
    <t>Hộ Ông Lê Văn Khang, CCCD số 037072008022 cấp ngày: 22/08/2023; Bà Đặng Thị Vân, CCCD số 038184045150 cấp ngày: 22/08/2023</t>
  </si>
  <si>
    <t>Giấy CNQSD đất số AP 027959 cấp ngày 23/5/2009</t>
  </si>
  <si>
    <t>Xây gạch ống, cốt thép, tô vữa xi măng. KLAH: 0,38m x 0,38m x cao 2m x 02 trụ</t>
  </si>
  <si>
    <t>Diện tích: dài 2,75m x cao 1,8m</t>
  </si>
  <si>
    <t>Lưới B40, trụ sắt V5. cao TB 1,5m x dài 8,9m</t>
  </si>
  <si>
    <t>Móng xây gạch ống, có tô vữa xi măng (rộng 10cm, cao 0,3m dài 8,9m).</t>
  </si>
  <si>
    <t>Xi măng. KLAH=KLXD: 5m x 7m</t>
  </si>
  <si>
    <t>Mái che</t>
  </si>
  <si>
    <t>Hiên nhà gỗ: Khung cột gỗ, vì kèo gỗ, mái lợp tôn; KLXD: rộng 4,6m x 1,9m. KLAH: 4,6m x 1,2m</t>
  </si>
  <si>
    <t>Phần B, XII, 6. QĐ 32/2024</t>
  </si>
  <si>
    <t>Thềm nhà xây xi măng (dưới hiên nhà)</t>
  </si>
  <si>
    <t>Xi măng + đá 4x6. DTXD: 4,2m x 1,9m; DTAH: 4,2m x 1,2m</t>
  </si>
  <si>
    <t>TỔNG TIỀN BỒI THƯỜNG, HỖ TRỢ, TÁI ĐỊNH CƯ CỦA ÔNG LÊ VĂN KHANG</t>
  </si>
  <si>
    <t>PHỤ LỤC 25: PHƯƠNG ÁN  BỒI THƯỜNG, HỖ TRỢ GIẢI PHÓNG MẶT BẰNG BÀ NGUYỄN THỊ THUÝ HẰNG</t>
  </si>
  <si>
    <t>25</t>
  </si>
  <si>
    <t>Bà Nguyễn Thị Thuý Hằng, CCCD số 067171002801, cấp ngày: 05/7/2021; Ông Nguyễn Văn Hoàng, CCCD số 067063001734, cấp ngày: 28/6/2021.</t>
  </si>
  <si>
    <t>Giấy CNQSD đất số AI 446216 cấp ngày 10/8/2007 và BU 661924 cấp ngày 3/6/2014</t>
  </si>
  <si>
    <t>Tài sản thửa đất số 19/6-2023</t>
  </si>
  <si>
    <t xml:space="preserve"> Bê tông. DTXD=DTAH: dài 5m x rộng 6m</t>
  </si>
  <si>
    <t>2011</t>
  </si>
  <si>
    <t>Xi măng. DTXD: dài 4,1m x rộng 6m. DTAH: dài 3,8m x 6m</t>
  </si>
  <si>
    <t>Khung cột sắt, vì kèo sắt, mái lợp tôn.  DTXD: dài 4,1m x rộng 6m. DTAH: dài 3,8m x 6m</t>
  </si>
  <si>
    <t>Tài sản thửa đất số 20/6-2023</t>
  </si>
  <si>
    <t xml:space="preserve"> Bê tông. DTXD=DTAH: dài 5m x rộng 5m</t>
  </si>
  <si>
    <t>Xi măng. DTXD: dài 4,1m x rộng 4,9m. DTAH: dài 3,8m x 4,9m</t>
  </si>
  <si>
    <t xml:space="preserve">Khung cột sắt, vì kèo sắt, mái lợp tôn. DTXD: dài 4,1m rộng 5m. DTAH: 3,8m x 5m </t>
  </si>
  <si>
    <t>Chân bồn nước</t>
  </si>
  <si>
    <t>Khung sắt V. Diện tích cao 2,1m x 1,2m x 1,2m</t>
  </si>
  <si>
    <t>Cái</t>
  </si>
  <si>
    <t>Phần B, XI, 6. QĐ 32/2024</t>
  </si>
  <si>
    <t>Phần B, XIII. QĐ 32/2024</t>
  </si>
  <si>
    <t>Xây gạch ống dày 0,1m, không tô, móng xây đá hộc. DTXD=DTAH: cao trung bình 0,5m x dài 3,9m</t>
  </si>
  <si>
    <t>TỔNG TIỀN BỒI THƯỜNG, HỖ TRỢ, TÁI ĐỊNH CƯ CỦA BÀ NGUYỄN THỊ THÚY HẰNG</t>
  </si>
  <si>
    <t>PHỤ LỤC 26: PHƯƠNG ÁN  BỒI THƯỜNG, HỖ TRỢ GIẢI PHÓNG MẶT BẰNG ÔNG NGUYỄN PHƯƠNG ĐẠI</t>
  </si>
  <si>
    <t>26</t>
  </si>
  <si>
    <t>Ông Nguyễn Phương Đại, CCCD số 049076023105, cấp ngày: 12/8/2021; Bà Lê Thị Ngọc Lành, CCCD số 067184003948, cấp ngày: 12/8/2021</t>
  </si>
  <si>
    <t>Giấy CNQSD đất số CD 872675 cấp ngày 29/9/2016</t>
  </si>
  <si>
    <t>Mai vàng</t>
  </si>
  <si>
    <t>Đường kính gốc &gt; 5cm</t>
  </si>
  <si>
    <t>2009</t>
  </si>
  <si>
    <t>Xi măng đá 4 x 6, vữa xi măng. DTXD=DTAH: dài 3m x rộng 4,4m</t>
  </si>
  <si>
    <t>Xây gạch ống, cốt thép, có tô trát. DTXD= DTAH: 0,4m x 0,4m x cao 2m x 2 trụ</t>
  </si>
  <si>
    <t xml:space="preserve">Kích thước: dài 3,2m x cao 1,8m </t>
  </si>
  <si>
    <t>Xi măng lót đá 4 x 6, xữa xi măng. DTXD: 6,8m x 9,2m, DTAH: 5,2m x 9,2m</t>
  </si>
  <si>
    <t xml:space="preserve">Khung sắt, vì kèo sắt, mái lợp tôn. DTXD: (dài 9,3m x rộng 5,1m); DTAH: (dài 5,9m x rộng 5,1m) </t>
  </si>
  <si>
    <t xml:space="preserve">Lưới B40 cao 1,5m, trụ bê tông cốt thép (0,1m x 0,1m), dài 6,8m. </t>
  </si>
  <si>
    <t>Móng xây đá hộc ( cao 0,3m, dày 0,3m, dài 6,8m)</t>
  </si>
  <si>
    <t xml:space="preserve">Lưới B40 cao 1,5m, trụ bê tông cốt thép (0,1m x 0,1m), dài 6,6m x cao tb 1,5m. </t>
  </si>
  <si>
    <t>Móng xây gạch ống (cao 0,3m, dày 0,15m, dài 6,6m)</t>
  </si>
  <si>
    <t>Am thờ</t>
  </si>
  <si>
    <t>Xây gạch ống, có tô trát, vữa xi măng, cao 0,7m x 0,3m x 0,3m 1 trụ.</t>
  </si>
  <si>
    <t>Phần B, V, 1. QĐ 32/2024</t>
  </si>
  <si>
    <t>TỔNG TIỀN BỒI THƯỜNG, HỖ TRỢ, TÁI ĐỊNH CƯ CỦA ÔNG NGUYỄN PHƯƠNG ĐẠI</t>
  </si>
  <si>
    <t>PHỤ LỤC 27: PHƯƠNG ÁN  BỒI THƯỜNG, HỖ TRỢ GIẢI PHÓNG MẶT BẰNG ÔNG DƯƠNG ĐỨC TOÀN</t>
  </si>
  <si>
    <t>27</t>
  </si>
  <si>
    <t>Ông Dương Đức Toàn, CCCD số 052077012193, cấp ngày: 12/01/2022; Bà Nguyễn Thị Thanh Phượng số 052189012795, cấp ngày: 12/8/2021</t>
  </si>
  <si>
    <t>Giấy CNQSD đất số CD 872679 cấp ngày 29/9/2016</t>
  </si>
  <si>
    <t>Bàng nhật</t>
  </si>
  <si>
    <t>Tiêu trụ bê tông</t>
  </si>
  <si>
    <t>Giai đoạn kinh doanh năm 4-10</t>
  </si>
  <si>
    <t>Bê tông đá 1 x 2. DTXD= DTAH: 2,8m x 3,5m</t>
  </si>
  <si>
    <t>Xây gạch ống, cốt thép, tô vữa xi măng. DTXD= DTAH: 0,4m x 0,4m x 2m (2 trụ)</t>
  </si>
  <si>
    <t>Kích thước: 3m x 1,9m</t>
  </si>
  <si>
    <t>Khung sắt, vì kèo sắt, mái lợp tôn. DTXD: (dài 2,9m x rộng 6,1m) + (dài 4,1m x rộng 2,9m). DTAH: (dài 2,9m x rộng 6,1m) + (dài 2,8m x rộng 2,9m)</t>
  </si>
  <si>
    <t>Xi măng:  DTXD: (dài 2,6m x rộng 6,1m) + (dài 4,1m x rộng 2,9m). DTAH: (dài 2,6m x rộng 6,1m) + (dài 2,8m x rộng 2,9m)</t>
  </si>
  <si>
    <t>Kết cấu: móng xây đá hộc, nền gạch ceramic 20x20 cm, tường xây gạch ống dày 10cm, cửa sắt kéo, trần tôn lạnh, mái lợp tôn, bổ trụ gạch tăng cường chịu lực, sơn nước hoàn thiện. DTXD: rộng 3,1m x dài 4,1m; DTAH: rộng 3,1m x dài 2,6m (chưa có giấy phép)</t>
  </si>
  <si>
    <t>TỔNG TIỀN BỒI THƯỜNG, HỖ TRỢ, TÁI ĐỊNH CƯ CỦA ÔNG DƯƠNG ĐỨC TOÀN</t>
  </si>
  <si>
    <t>PHỤ LỤC 28: PHƯƠNG ÁN  BỒI THƯỜNG, HỖ TRỢ GIẢI PHÓNG MẶT BẰNG ÔNG TRẦN ANH TUẤN</t>
  </si>
  <si>
    <t>28</t>
  </si>
  <si>
    <t>Ông Trần Anh Tuấn, CCCD số 067073003833, cấp ngày: 27/12/2021.</t>
  </si>
  <si>
    <t>Giấy CNQSD đất số BS 203524 cấp ngày 15/1/2014</t>
  </si>
  <si>
    <t>Lát gạch bát tràng (0,3m x 0,3m) và phần lát vữa xi măng. DXD dài 8,9m x rộng 5m, DTAH: 5,4m x 5m.</t>
  </si>
  <si>
    <t xml:space="preserve">Móng xây gạch ống, tô vữa xi măng, trên rào lưới B40 khung viền sắt V5, trụ xây gạch ống có tô vữa xi măng (0,2m x 0,2m  x cao 2,3m), cao trung bình 2,3m x dài 3,9m. </t>
  </si>
  <si>
    <t>Phần B, XIII, 4. QĐ 32/2024</t>
  </si>
  <si>
    <t xml:space="preserve">Móng </t>
  </si>
  <si>
    <t>Xây gạch ống cao 20cm, dày 10cm, dài 3,9m</t>
  </si>
  <si>
    <t>Lưới B40 khung viền sắt V5, cao trung bình 2,1m x dài 3,9m</t>
  </si>
  <si>
    <t>Xây gạch ống có tô vữa xi măng (0,2m x 0,2m  x cao 2,3m)</t>
  </si>
  <si>
    <t>DT: dài 5m x cao trung bình 2,3m</t>
  </si>
  <si>
    <t>Xây gạch ống, tô vữa xi măng, cốt thép. KLXD=KLAH: 0,4m x 0,4m x cao 2,3m x 2 trụ</t>
  </si>
  <si>
    <t xml:space="preserve">Tấm đan </t>
  </si>
  <si>
    <t>Lối vào. KLXD=KLAH: 1,6m x 0,75m x dày 0,05m</t>
  </si>
  <si>
    <t>Khung cột sắt, vì kèo sắt, mái lợp tôn. DTXD: 4,8m x 5m. DTAH: 1,4m x 5m</t>
  </si>
  <si>
    <t>Xây gạch ống, có tô vữa xi măng. Dài 4,5m, dày 0,1m, cao trung bình 0,2m</t>
  </si>
  <si>
    <t>TỔNG TIỀN BỒI THƯỜNG, HỖ TRỢ, TÁI ĐỊNH CƯ CỦA ÔNG TRẦN ANH TUẤN</t>
  </si>
  <si>
    <t>Số hộ gia đình cá nhân
bị ảnh hưởng</t>
  </si>
  <si>
    <t>Hộ gđ/
 cá nhân</t>
  </si>
  <si>
    <t>Tổng kinh phí GPMB</t>
  </si>
  <si>
    <t>Đồng</t>
  </si>
  <si>
    <t>Trong đó:</t>
  </si>
  <si>
    <t>Giá trị bồi thường,
hỗ trợ cho hộ gia đình, 
cá nhân</t>
  </si>
  <si>
    <t>a</t>
  </si>
  <si>
    <t>Về đất</t>
  </si>
  <si>
    <t>Khấu trừ nghĩa vụ tài chính</t>
  </si>
  <si>
    <t>b</t>
  </si>
  <si>
    <t>Cây trồng trên đất</t>
  </si>
  <si>
    <t>c</t>
  </si>
  <si>
    <t>Tài sản, vật kiến trúc</t>
  </si>
  <si>
    <t>d</t>
  </si>
  <si>
    <t>Chính sách hỗ trợ</t>
  </si>
  <si>
    <t>Chi phí bảo đảm cho việc 
tổ chức thực hiện bồi 
thường, hỗ trợ, tái định cư</t>
  </si>
  <si>
    <t>PHỤ LỤC 1: PHƯƠNG ÁN  BỒI THƯỜNG, HỖ TRỢ GIẢI PHÓNG MẶT BẰNG ÔNG LÊ TẤN HUY</t>
  </si>
  <si>
    <t xml:space="preserve">Thôn 11, xã Đắk Song, tỉnh Lâm Đồng </t>
  </si>
  <si>
    <t xml:space="preserve">PHƯƠNG ÁN BỒI THƯỜNG VỀ ĐẤT: BỒI THƯỜNG BẰNG TIỀN </t>
  </si>
  <si>
    <t>Mục đích thửa đất bị thu hồi</t>
  </si>
  <si>
    <t>Vị trí thửa đất</t>
  </si>
  <si>
    <t>Theo KQ đo đạc chỉnh lý</t>
  </si>
  <si>
    <t>Giấy CNQSD đất</t>
  </si>
  <si>
    <t>Diện tích đất đủ điều kiện đươc bồi thường</t>
  </si>
  <si>
    <t>Diện tích đất không được bồi thường</t>
  </si>
  <si>
    <t>Hệ số chiều sâu/ Lô góc</t>
  </si>
  <si>
    <t>Đơn giá (đồng) theo QĐ số: 2920/QĐ-UBND ngày 31/7/2024 của UBND huyện Đắk Mil</t>
  </si>
  <si>
    <t>Khấu trừ nghĩa vụ tài chính (đồng)</t>
  </si>
  <si>
    <t xml:space="preserve">Thửa đất </t>
  </si>
  <si>
    <t>Tờ bản đồ</t>
  </si>
  <si>
    <t>Đã được cấp GCNQSD</t>
  </si>
  <si>
    <t>Chưa được cấp GCNQSD</t>
  </si>
  <si>
    <t>Tổng khối lượng (m2)</t>
  </si>
  <si>
    <t>Khối lượng (m2)</t>
  </si>
  <si>
    <t>Nguyên nhân không BT</t>
  </si>
  <si>
    <t>Đất trồng cây lâu năm</t>
  </si>
  <si>
    <t>6-2023</t>
  </si>
  <si>
    <t>CLN</t>
  </si>
  <si>
    <t xml:space="preserve">QĐ 2920/QĐ-UBND </t>
  </si>
  <si>
    <t>Xây gạch ống, tô vữa xi măng, lõi bê tông cốt thép, 4 thanh sắt 18. KT: (0,6mx0,6mxcao 3,5m)x2trụ+1m móng xây đá hộc</t>
  </si>
  <si>
    <t>2012</t>
  </si>
  <si>
    <t>Khung cột sắt, (vì kèo  12 cây sắt V5 dài 6m, đan tam giác,HT: 4,5x1,2m)x2, mái lợp tôn 4,2mm, trong đó có 4 trụ sắt (3 trụ phi 114, dày 2mm, trụ sắt u20), có đế bê tông. DTXD: 5,5x27m, DTAH: 3,5x27m</t>
  </si>
  <si>
    <t>Phần B, VII, 2. QĐ 32/2024</t>
  </si>
  <si>
    <t>Cổng sắt kín</t>
  </si>
  <si>
    <t>Khung sắt thép V5 (5 thanh ngang, 7 thanh dọc)x02 cánh. Bịt kín bằng tấm thép dày 1,2mm, DT: 8x3,5m, 2 trụ sắt tròn phi 114cm, dày 2mm</t>
  </si>
  <si>
    <t>Bể nước</t>
  </si>
  <si>
    <t>Đáy đổ bê tông cốt thép, dày 0,2m (sắt 14,12). Thành đổ bê tông dày 30cm, cốt thép (14,12) đan vuông 15. DTXD=DTAH: 3,6mx3,6mxsâu 1,7m</t>
  </si>
  <si>
    <t>Phần B, X, 2. QĐ 32/2024</t>
  </si>
  <si>
    <t>Nắp đậy bể nước</t>
  </si>
  <si>
    <t xml:space="preserve">Nắp đậy V5 (3,6x3)m tôn 0,3mm. </t>
  </si>
  <si>
    <t>Phần B, V, 5. QĐ 32/2024</t>
  </si>
  <si>
    <t>Sân bê tông</t>
  </si>
  <si>
    <t>DTAH (6,8mx27mxdày 10cm) - (10mx3,8m)</t>
  </si>
  <si>
    <t>Phần B, III, 3. QĐ 32/2024</t>
  </si>
  <si>
    <t>TỔNG TIỀN BỒI THƯỜNG, HỖ TRỢ, TÁI ĐỊNH CƯ CỦA ÔNG LÊ TẤN HUY</t>
  </si>
  <si>
    <t>PHỤ LỤC 2: PHƯƠNG ÁN  BỒI THƯỜNG, HỖ TRỢ GIẢI PHÓNG MẶT BẰNG ÔNG NGUYỄN HỮU THANH</t>
  </si>
  <si>
    <t xml:space="preserve">Ông Nguyễn Hữu Thanh sinh năm 1966 số CCCD 049066018061 cấp ngày 16/09/2021 </t>
  </si>
  <si>
    <t>Giấy CNQSD đất sốBO 994302, AP 760035.</t>
  </si>
  <si>
    <t xml:space="preserve">PHƯƠNG ÁN BỒI THƯỜNG VỀ ĐẤT: ĐÃ ĐƯỢC BỒI THƯỜNG BẰNG TIỀN </t>
  </si>
  <si>
    <t>Thửa đất số 18, mảnh trích đo 6-2023, xã Thuận An, diện tích 131,7m². Tương ứng với một phần thửa đất số 331, tờ bản đồ 10</t>
  </si>
  <si>
    <t>Thửa đất số 24 mảnh trích đo 6-2023, xã Thuận An, diện tích 51,8m². Tương ứng với một phần thửa đất số 867, tờ bản đồ 10</t>
  </si>
  <si>
    <t>6-2024</t>
  </si>
  <si>
    <t>Cây bàng nhật</t>
  </si>
  <si>
    <t>cây</t>
  </si>
  <si>
    <t>Phụ lục IV, Mục A, Nhóm V, STT 36, QĐ26-2024</t>
  </si>
  <si>
    <t>Lối vào bê tông đá 1*2 DTXD = DTAH
3,4m*20,6m</t>
  </si>
  <si>
    <t>2014</t>
  </si>
  <si>
    <t xml:space="preserve">Trụ cổng xây xây gạch ống , cốt thép, có tô vữa xi măng DT: 0,4m*0,4m*cao 2,5m *1 trụ </t>
  </si>
  <si>
    <t>Phần B, XIII, 7. QĐ 32/2025</t>
  </si>
  <si>
    <t>Cổng kéo, 2 cánh kéo DT : cao 2,5m*(dài 3,4m+3,8m)</t>
  </si>
  <si>
    <t>Khung cột sắt, vì kèo sắt , mái lợp tôn, DTXD : 11*20,6, DTAH: 5,3*20,6</t>
  </si>
  <si>
    <t>Lát gạch bát tràng ( loại gạch 30cm*30cm), vữa xi măng DTXD: (3,8M*3,5M)+(8,7M*15,5M), DTAH: (3,8M*3,5M)+(4,6M*15,5M)</t>
  </si>
  <si>
    <t>Nhà ở kết hợp ki ốt bán hàng kinh doanh kết cấu : móng xây đá hộc, nền gạch ceramic 40cm*40cm, trụ xây gạch ống chịu lực, dầm bê tông cốt thép, tường xây gạch ống 10cm, có sơn nước hoàn thiện, trần lợp tôn lạnh, mái lợp tôn, cữa săt kéo DTXD: 7,6M*5M, DTAH: 1,1M*5M</t>
  </si>
  <si>
    <t>Hầm rút</t>
  </si>
  <si>
    <t>Xây gạch ống dày 10cm + tô vữa xi măng đường kính phi 90cm, sâu 2m</t>
  </si>
  <si>
    <t>Phần B, XIV, 1. QĐ 32/2024</t>
  </si>
  <si>
    <t>Nắp đậy hầm rút</t>
  </si>
  <si>
    <t>Bê tông cốt thép đường kính 1m, dày 0,05m (diện tích nắp 3,14×(0,5)
 =0,785m2)</t>
  </si>
  <si>
    <t>Nhà ở ( thửa 24)</t>
  </si>
  <si>
    <t>Kết cấu xây móng đá hộc, tường xây gachh, một bên xây gạch lửng, trên thưng sắt thoáng, không trần, mái lợp tôn, nền gạch bát tràng, cữa sắt, DTXD: 5,2*10M, DTAH 4,4*10M</t>
  </si>
  <si>
    <t>PL A ,Mục IV.1, STT 2:QĐ 32/2024</t>
  </si>
  <si>
    <t>Trừ đi do không đóng trần</t>
  </si>
  <si>
    <t>Mẫu chuẩn có trần tôn lạnh (138.000 đồng/m²), nhà này không trần nên phải trừ đi: -138.000 đồng/m²</t>
  </si>
  <si>
    <t>Theo Mục 2, Phần C, QĐ 32/2024</t>
  </si>
  <si>
    <t>Lối vào ( thửa 24)</t>
  </si>
  <si>
    <t>lát vỉa bê tông đá 1*2, đá 4*6, VXM, DTXD= DTAH 3,2*10M</t>
  </si>
  <si>
    <t>TỔNG TIỀN BỒI THƯỜNG, HỖ TRỢ, TÁI ĐỊNH CƯ CỦA ÔNG NGUYỄN HỮU THANH</t>
  </si>
  <si>
    <t>Số hộ gia đình cá nhận
bị ảnh hưởng</t>
  </si>
  <si>
    <t>Tổng diện tích 
đất bị ảnh hưởng</t>
  </si>
  <si>
    <t>Đất ở</t>
  </si>
  <si>
    <t>Đất giao thông</t>
  </si>
  <si>
    <t>2.2</t>
  </si>
  <si>
    <t>2.1</t>
  </si>
  <si>
    <t>3.2</t>
  </si>
  <si>
    <t>3.1</t>
  </si>
  <si>
    <t>Điều chỉnh chênh lệch gạch nền</t>
  </si>
  <si>
    <t>Mẫu chuẩn là gạch Ceramic 40x40cm (262.000 đồng/m²), nhà này lát gạch Bát Tràng (tương đương gạch tàu 30x30cm là 249.000 đồng/m²) nên trừ chênh lệch</t>
  </si>
  <si>
    <t>Thôn 1, xã Đức Lập, tỉnh Lâm Đồng 0972.670.462</t>
  </si>
  <si>
    <t>Thôn 1 , xã Đức Lập, tỉnh Lâm Đồng 0378.791.155</t>
  </si>
  <si>
    <t>Thôn Đắk Xuân, xã Thuận An, Tỉnh Lâm Đồng 0983085757</t>
  </si>
  <si>
    <t>Thôn Đức Vinh, xã Đức Lập, tỉnh Lâm Đồng 0366519378-0905048844</t>
  </si>
  <si>
    <t>Thôn Đắk Xuân, xã Thuận An, Tỉnh Lâm Đồng 0977378799</t>
  </si>
  <si>
    <t>Thôn Đắk Xuân, xã Thuận An, Tỉnh Lâm Đồng 0932543868</t>
  </si>
  <si>
    <t>Thôn Đắk Xuân, xã Thuận An, Tỉnh Lâm Đồng 0393179992-0866496497</t>
  </si>
  <si>
    <t>Thôn 4, xã Đức Lập, tỉnh Lâm Đồng 0765846888</t>
  </si>
  <si>
    <t>STT</t>
  </si>
  <si>
    <t>DANH SÁCH HỘ DÂN ĐƯỜNG LÊ LỢI-THUẬN AN</t>
  </si>
  <si>
    <t>Ông TRẦN VĂN SƠN, CCCD: 040057002217, ngày cấp: 19/4/2021; bà LÊ THỊ TIẾN, sinh năm 1960.</t>
  </si>
  <si>
    <t>Ông Đào Ngọc Hạnh, CCCD: 038088046817</t>
  </si>
  <si>
    <t>Thôn Đắk Xuân, xã Thuận An, Tỉnh Lâm Đồng 0932375910</t>
  </si>
  <si>
    <t>Xây gạch không tô DTAH: 6,2m, cao 70cm, dày 15cm</t>
  </si>
  <si>
    <t>BẢNG TỔNG HỢP</t>
  </si>
  <si>
    <t>Thửa đất số 3, mảnh trích đo 5-2023, xã Đắk Lao, diện tích 39,3 m². Tương ứng với một phần thửa đất số 603, tờ bản đồ 9, đã được cấp Giấy CNQSD đất số DI 050102 cấp ngày 13/3/2023</t>
  </si>
  <si>
    <t>5-2023</t>
  </si>
  <si>
    <t>DI 050102</t>
  </si>
  <si>
    <r>
      <t>Khối lượng (m</t>
    </r>
    <r>
      <rPr>
        <b/>
        <vertAlign val="superscript"/>
        <sz val="14"/>
        <rFont val="Times New Roman"/>
        <family val="1"/>
      </rPr>
      <t>2</t>
    </r>
    <r>
      <rPr>
        <b/>
        <sz val="14"/>
        <rFont val="Times New Roman"/>
        <family val="1"/>
      </rPr>
      <t>)</t>
    </r>
  </si>
  <si>
    <t>Thửa đất số 2, mảnh trích đo 5-2023, xã Đắk Lao, diện tích 53,5 m². Tương ứng với một phần thửa đất số 140, tờ bản đồ 9</t>
  </si>
  <si>
    <t>BL 804854</t>
  </si>
  <si>
    <t xml:space="preserve">Thửa đất số 4, mảnh trích đo 5-2023, xã Đắk Lao, diện tích 52,6 m². Tương ứng với một phần thửa đất số 604, tờ bản đồ 9 </t>
  </si>
  <si>
    <t>BE 351579</t>
  </si>
  <si>
    <t>Đất sản xuất kinh doanh</t>
  </si>
  <si>
    <t>Thửa đất số 5, mảnh trích đo 5-2023, xã Đắk Lao, diện tích 59,5 m². Tương ứng với một phần thửa đất số 605, tờ bản đồ 9</t>
  </si>
  <si>
    <t>Sản xuất kinh doanh</t>
  </si>
  <si>
    <t>AD 023060</t>
  </si>
  <si>
    <t xml:space="preserve">Thửa đất số 6, mảnh trích đo 5-2023, xã Đắk Lao, diện tích 135,3 m². Tương ứng với một phần thửa đất số 158, tờ bản đồ 10 </t>
  </si>
  <si>
    <t>D 0494776</t>
  </si>
  <si>
    <t>Thửa đất số 9, mảnh trích đo 5-2023, xã Đắk Lao, diện tích 71,5 m². Tương ứng với một phần thửa đất số 279, tờ bản đồ 86</t>
  </si>
  <si>
    <t>DI 473350</t>
  </si>
  <si>
    <t>Thửa đất số 10, mảnh trích đo 5-2023, xã Đắk Lao, diện tích 96,8 m². Tương ứng với một phần thửa đất số 280, tờ bản đồ 86</t>
  </si>
  <si>
    <t>DI 473352</t>
  </si>
  <si>
    <t>Thửa đất số 27, mảnh trích đo 5-2023, xã Đắk Lao, diện tích 31,8 m². Tương ứng với một phần thửa đất số 279, tờ bản đồ 86</t>
  </si>
  <si>
    <t>Thửa đất số 12, mảnh trích đo 5-2023, xã Đắk Lao, diện tích 35,5 m². Tương ứng với một phần thửa đất số 1267, tờ bản đồ 10</t>
  </si>
  <si>
    <t>CH 07092</t>
  </si>
  <si>
    <t>PHƯƠNG ÁN BỒI THƯỜNG VỀ ĐẤT</t>
  </si>
  <si>
    <t>Thửa đất số 13, mảnh trích đo 5-2023, xã Đắk Lao, diện tích 26,5 m². Tương ứng với một phần thửa đất số 1021, tờ bản đồ 10</t>
  </si>
  <si>
    <t>CI 318654</t>
  </si>
  <si>
    <t>Đất HLĐB</t>
  </si>
  <si>
    <t>Thửa đất số 25, mảnh trích đo 5-2023, xã Đắk Lao, diện tích 69,7 m². Tương ứng với một phần thửa đất số 193, tờ bản đồ 10</t>
  </si>
  <si>
    <t>BG 947548</t>
  </si>
  <si>
    <t>Đất ở tại nông thôn</t>
  </si>
  <si>
    <t>Thửa đất số 14, mảnh trích đo 5-2023, xã Đắk Lao, diện tích 31,8 m². Tương ứng với một phần thửa đất số 906, tờ bản đồ 10</t>
  </si>
  <si>
    <t>ONT + CLN</t>
  </si>
  <si>
    <t>DA 185642</t>
  </si>
  <si>
    <t>Thửa đất số 17, mảnh trích đo 5-2023, xã Đắk Lao, diện tích 30,5 m². Tương ứng với một phần thửa đất số 812, tờ bản đồ 10</t>
  </si>
  <si>
    <t>DB 131789</t>
  </si>
  <si>
    <t>Thửa đất số 22, mảnh trích đo 5-2023, xã Đắk Lao, diện tích 35,6m². Tương ứng với một phần thửa đất số 970, tờ bản đồ 10</t>
  </si>
  <si>
    <t>BY 119754</t>
  </si>
  <si>
    <t>ONT</t>
  </si>
  <si>
    <t>Thửa đất số 1, mảnh trích đo 6-2023, xã Đắk Lao, diện tích 35,5m². Tương ứng với một phần thửa đất số 982, tờ bản đồ 10</t>
  </si>
  <si>
    <t>CA 901522</t>
  </si>
  <si>
    <t>Thửa đất số 2, mảnh trích đo 6-2023, xã Đắk Lao, diện tích 35,5m². Tương ứng với một phần thửa đất số 983, tờ bản đồ 10</t>
  </si>
  <si>
    <t>CA 901523</t>
  </si>
  <si>
    <t>Thửa đất số 3, mảnh trích đo 6-2023, xã Đắk Lao, diện tích 154,5m². Tương ứng với một phần thửa đất số 192, tờ bản đồ 10</t>
  </si>
  <si>
    <t>CA 901524</t>
  </si>
  <si>
    <t>Thửa đất số 5, mảnh trích đo 6-2023, xã Đắk Lao, diện tích 71,2m². Tương ứng với một phần thửa đất số 863, tờ bản đồ 10</t>
  </si>
  <si>
    <t>BA 691586</t>
  </si>
  <si>
    <t>Thửa đất số 7, mảnh trích đo 6-2023, xã Đắk Lao, diện tích 102,8m². Tương ứng với một phần thửa đất số 262, tờ bản đồ 10</t>
  </si>
  <si>
    <t>Thửa đất số 6, mảnh trích đo 6-2023, xã Đắk Lao, diện tích 36,4m². Tương ứng với một phần thửa đất số 989, tờ bản đồ 10</t>
  </si>
  <si>
    <t>CA 935901</t>
  </si>
  <si>
    <t>Thửa đất số 4, mảnh trích đo 6-2023, xã Đắk Lao, diện tích 39,2m². Tương ứng với một phần thửa đất số 262, tờ bản đồ 10</t>
  </si>
  <si>
    <t>DI 160721</t>
  </si>
  <si>
    <t>Thửa đất số 8, mảnh trích đo 6-2023, xã Đắk Lao, diện tích 90,4m². Tương ứng với một phần thửa đất số 282, tờ bản đồ 10</t>
  </si>
  <si>
    <t>DI 160722</t>
  </si>
  <si>
    <t>Thửa đất số 10, mảnh trích đo 6-2023, xã Đắk Lao, diện tích 62,1m². Tương ứng với một phần thửa đất số 333, tờ bản đồ 10</t>
  </si>
  <si>
    <t>CD 242717</t>
  </si>
  <si>
    <t>Thửa đất số 13, mảnh trích đo 6-2023, xã Đắk Lao, diện tích 47,2m². Tương ứng với một phần thửa đất số 1025, tờ bản đồ 10</t>
  </si>
  <si>
    <t>CI 511314</t>
  </si>
  <si>
    <t>Thửa đất số 12, mảnh trích đo 6-2023, xã Đắk Lao, diện tích 90,4m². Tương ứng với một phần thửa đất số 282, tờ bản đồ 10</t>
  </si>
  <si>
    <t>CI 511313</t>
  </si>
  <si>
    <t>Thửa đất số 11, mảnh trích đo 6-2023, xã Đắk Lao, diện tích 90,4m². Tương ứng với một phần thửa đất số 282, tờ bản đồ 10</t>
  </si>
  <si>
    <t>CI 511312</t>
  </si>
  <si>
    <t>Thửa đất số 14, mảnh trích đo 6-2023, xã Đắk Lao, diện tích 90,4m². Tương ứng với một phần thửa đất số 990, tờ bản đồ 10</t>
  </si>
  <si>
    <t>CS 446758</t>
  </si>
  <si>
    <t>Thửa đất số 15, mảnh trích đo 6-2023, xã Đắk Lao, diện tích 33,3m². Tương ứng với một phần thửa đất số 991, tờ bản đồ 10</t>
  </si>
  <si>
    <t>CN 243059</t>
  </si>
  <si>
    <t>Đất ở nông thôn</t>
  </si>
  <si>
    <t>Thửa đất số 22, mảnh trích đo 6-2023, xã Đắk Lao, diện tích 53,1m². Tương ứng với một phần thửa đất số 73, tờ bản đồ 89</t>
  </si>
  <si>
    <t>DI 160764</t>
  </si>
  <si>
    <t>Thửa đất số 17, mảnh trích đo 6-2023, xã Đắk Lao, diện tích 41,7m². Tương ứng với một phần thửa đất số 664, tờ bản đồ 10</t>
  </si>
  <si>
    <t>Thửa đất số 19, mảnh trích đo 6-2023, xã Đắk Lao, diện tích 34,2m². Tương ứng với một phần thửa đất số 684, tờ bản đồ 10</t>
  </si>
  <si>
    <t>AI 446216</t>
  </si>
  <si>
    <t>Thửa đất số 20, mảnh trích đo 6-2023, xã Đắk Lao, diện tích 28,3m². Tương ứng với một phần thửa đất số 938, tờ bản đồ 10</t>
  </si>
  <si>
    <t>BU 661924</t>
  </si>
  <si>
    <t>Thửa đất số 21, mảnh trích đo 6-2023, xã Đắk Lao, diện tích 55m². Tương ứng với một phần thửa đất số 330, tờ bản đồ 10</t>
  </si>
  <si>
    <t>CD 872675</t>
  </si>
  <si>
    <t>Thửa đất số 23, mảnh trích đo 6-2023, xã Đắk Lao, diện tích 40,3m². Tương ứng với một phần thửa đất số 864, tờ bản đồ 10</t>
  </si>
  <si>
    <t>CD 872679</t>
  </si>
  <si>
    <t>Thửa đất số 25, mảnh trích đo 6-2023, xã Đắk Lao, diện tích 36,8m². Tương ứng với một phần thửa đất số 932, tờ bản đồ 10</t>
  </si>
  <si>
    <t>BS 203524</t>
  </si>
  <si>
    <t>Đã được bồi thường bằng tiền tại Quyết định 640/QĐ-UBND , ngày 29/12/2025 của UBND xã Thuận An</t>
  </si>
  <si>
    <t>Mãng cầu</t>
  </si>
  <si>
    <t>Cây trồng chính</t>
  </si>
  <si>
    <t xml:space="preserve"> *</t>
  </si>
  <si>
    <t xml:space="preserve"> Tổng giá trị cây trồng vượt đề xuất hỗ trợ theo Khoản 5 Điều 15 QĐ 25/2024 (=50% giá trị Cây trồng chính)</t>
  </si>
  <si>
    <t>Cây trồng vượt</t>
  </si>
  <si>
    <t xml:space="preserve">Mật độ (m2/cây, theo QĐ 1972/2025) </t>
  </si>
  <si>
    <t>Thửa đất số 10, mảnh trích đo địa chính số 06-2023</t>
  </si>
  <si>
    <t>Thửa đất số 13, mảnh trích đo địa chính số 06-2023</t>
  </si>
  <si>
    <t>Đường kính 30cm, cao 3m</t>
  </si>
  <si>
    <t>PL II, 2.2, 3. QĐ 26/2024</t>
  </si>
  <si>
    <t xml:space="preserve">Cau cảnh </t>
  </si>
  <si>
    <t>Lối vào (phần nằm trên đất giao thông)</t>
  </si>
  <si>
    <t>Bê tông đá 1 x2.  Diện tích: dài 1,4m x 7m</t>
  </si>
  <si>
    <t>Bê tông đá 1 x2.  Diện tích: dài 0,2m x 7m</t>
  </si>
  <si>
    <t xml:space="preserve">Bê tông (lối vào): ảnh hưởng 5 tấm. Kích thước 1 tấm: 1m x 1m, dày 0,15m </t>
  </si>
  <si>
    <t>Lối vào ( Xd trên đất hành lang giao thông)</t>
  </si>
  <si>
    <t>Bê tông, dày 10cm, kết cấu đá 1x2, cộng vữa xi măng. DTAH: 8,8x1m</t>
  </si>
  <si>
    <t>Bê tông, dày 10cm, kết cấu đá 1x2, cộng vữa xi măng. DTAH: 8,8x2,2m</t>
  </si>
  <si>
    <t>Thửa số 12- Tờ bản đồ số 05-2023</t>
  </si>
  <si>
    <t>(Thửa số 26- Tờ bản đồ số 05-2023)</t>
  </si>
  <si>
    <t>Sân xi măng: mặt láng vữa xi măng, dưới có lót đá 4*6, KLXD: 6,3M*4,8M, KLAH 3,2M*4,8M</t>
  </si>
  <si>
    <t>Dài 2,9m, cao 2m</t>
  </si>
  <si>
    <t>Xây gạch, cốt thép, tô vữa xi măng 04*0,4* cao 2m, ảnh hưởng 3 trụ</t>
  </si>
  <si>
    <t>KLXD = KLAH: 5*1,4M</t>
  </si>
  <si>
    <t>Lối vào bê tông (Xd trên đất hành lang giao thông)</t>
  </si>
  <si>
    <t>KLXD = KLAH: 5*2M</t>
  </si>
  <si>
    <t>Tấm đan (Xd trên đất hành lang giao thông)</t>
  </si>
  <si>
    <t>Bê tông, ảnh hưởng 5 tấm, Diện tích 1 tấm là: 1m*1m* 0,15m</t>
  </si>
  <si>
    <t>Kè mương thoát nước (Xd trên đất hành lang giao thông)</t>
  </si>
  <si>
    <t>Xây đá hộc, cao 0,3m dày 30cm, dài 10m (hai bên , mỗi bên 5m)</t>
  </si>
  <si>
    <t>DTXD = DTAH 0,3M*0,3M* cao 1,6m</t>
  </si>
  <si>
    <t xml:space="preserve">Cau vua </t>
  </si>
  <si>
    <t>Bờ kè ( Đất hành lang giao thông)</t>
  </si>
  <si>
    <t>Tấm đan ( Xây dựng trên đất hành lang giao thông)</t>
  </si>
  <si>
    <t>Tấm đan bê tông cốt thép đá 1x2, vữa xi măng dày 10cm, rộng 1m x dài 1m) x 5 tấm,</t>
  </si>
  <si>
    <t>Xây dựng trên đất giao thông</t>
  </si>
  <si>
    <t>Đá hộc, rộng 60cm, cao 2,5m, (cộng móng) dài 3,1m.</t>
  </si>
  <si>
    <t>Đá hộc, rộng 60cm, cao 2,5m, (cộng móng) dài 1,9m.</t>
  </si>
  <si>
    <t>Xây gạch ống thủ công, cao 20cm, rộng 20cm, dài 1,1m (có tô xi măng)</t>
  </si>
  <si>
    <t>Xây gạch ống thủ công, cao 20cm, rộng 20cm, dài 1,9m (có tô xi măng)</t>
  </si>
  <si>
    <t>Lưới B40, không móng, trụ gỗ, cao 1,4m, dài 11,85m</t>
  </si>
  <si>
    <t>Lưới B40, không móng, trụ gỗ, cao 1,4m, dài 0,15m</t>
  </si>
  <si>
    <t>Cống bi (XD trên đất hành lang giao thông)</t>
  </si>
  <si>
    <t>Đường kính 0,3m, dài 1m, ảnh hưởng 3 cống</t>
  </si>
  <si>
    <t>Xi măng, vữa xi măng đá 4x6: DTXD=DTAH: 9,6m x 4m</t>
  </si>
  <si>
    <t>Xi măng, vữa xi măng đá 4x6: DTXD=DTAH: 9,6m x 1m</t>
  </si>
  <si>
    <t>Khung cột sắt, vì kèo sắt. DTXD=DTAH: 11m x 4m.</t>
  </si>
  <si>
    <t>Mái vòm (Xd trên đất hành lang giao thông)</t>
  </si>
  <si>
    <t>Khung cột sắt, vì kèo sắt. DTXD=DTAH: 11m x 1m.</t>
  </si>
  <si>
    <t>Lưới B40, cao 1,5m; Trụ sắt v5, chiều dài xây dưng; 19,9m, chiều dài ảnh hưởng: 5,7m</t>
  </si>
  <si>
    <t>Lưới B40, cao 1,5m; Trụ sắt v5, chiều dài xây dưng; 19,9m, chiều dài ảnh hưởng: 10,2m</t>
  </si>
  <si>
    <t>Móng xây gạch ống cao 30cm, rộng 20cm, chiều dài xây dựng: 19,9m, chiều dài ảnh hưởng: 5,7m.</t>
  </si>
  <si>
    <t>Móng xây gạch ống cao 30cm, rộng 20cm, chiều dài xây dựng: 19,9m, chiều dài ảnh hưởng: 10,2m.</t>
  </si>
  <si>
    <t>Tường rào (Xd trên đất hành lang giao thông)</t>
  </si>
  <si>
    <t>Xây đá hộc, vữa xi măng, cao 0,7m, dày 0,3m, dài 4m.</t>
  </si>
  <si>
    <t>Bờ kè (Xd trên đất hành lang giao thông)</t>
  </si>
  <si>
    <t>Xây đá hộc, vữa xi măng, cao 0,7m, dày 0,3m, dài 1m.</t>
  </si>
  <si>
    <t>Bê tông đá 1x2, DT: 2,9m x 1,9m</t>
  </si>
  <si>
    <t>Lối vào (Xây dựng trên đất giao thông)</t>
  </si>
  <si>
    <t>Bê tông đá 1x2, DT: 2,9m x 1,1m</t>
  </si>
  <si>
    <t>Bê tông đá 1x2. Diện tích: 2,9m x 3,4m</t>
  </si>
  <si>
    <t>Lối vào ( Xây dựng trên đất giao thông)</t>
  </si>
  <si>
    <t>Bê tông đá 1x2. Diện tích: 2,9m x 1,9m</t>
  </si>
  <si>
    <t>Trụ cổng xây xây gạch ống , cốt thép, bên ngoài ốp đá DT: 0,4m*0,4m*cao 2,5m  x 2 trụ</t>
  </si>
  <si>
    <t>đá bắc đen 10cm*20cm ốp 4 mặt, DTAH: 0,4x2,5m</t>
  </si>
  <si>
    <t>Bờ kè ( Xây dựng trên đất hành lang giao thông)</t>
  </si>
  <si>
    <t xml:space="preserve">Cộng thêm </t>
  </si>
  <si>
    <t>PL B XII QĐ 32/2024</t>
  </si>
  <si>
    <t xml:space="preserve">PL B XII QĐ 32/2024 </t>
  </si>
  <si>
    <t xml:space="preserve">PL XIV, 1.a. QĐ 32/2024 </t>
  </si>
  <si>
    <t xml:space="preserve">Phần B, X, 4. QĐ 32/2024 </t>
  </si>
  <si>
    <t xml:space="preserve">Phần B, IX, 3. QĐ 32/2024 </t>
  </si>
  <si>
    <t xml:space="preserve">Phần B, V, 9. QĐ 32/2024 </t>
  </si>
  <si>
    <t xml:space="preserve">Phần B, XII, 2. QĐ 32/2024  </t>
  </si>
  <si>
    <t xml:space="preserve">Phần B, II, 3. QĐ 32/2024 </t>
  </si>
  <si>
    <t xml:space="preserve">Phần B, III, 12. QĐ 32/2024 </t>
  </si>
  <si>
    <t xml:space="preserve">Phần B, II, 26. QĐ 32/2024 </t>
  </si>
  <si>
    <t xml:space="preserve">Phần B, XI, 1. QĐ 32/2024 </t>
  </si>
  <si>
    <t xml:space="preserve">Phần B, XIII, 7. QĐ 32/2024 </t>
  </si>
  <si>
    <t xml:space="preserve">Phần B, IX,  1 QĐ 32/2024 </t>
  </si>
  <si>
    <t>Phần B, XII, 2. QĐ 32/2024  là 30%</t>
  </si>
  <si>
    <t xml:space="preserve">Phần B, II, 4. QĐ 32/2024 </t>
  </si>
  <si>
    <t xml:space="preserve">Phần B, VI, 1. QĐ 32/2024 </t>
  </si>
  <si>
    <t xml:space="preserve">Phần A, II, 5. QĐ 32/2024 </t>
  </si>
  <si>
    <t xml:space="preserve">Phần B, XIII, 5. QĐ 32/2024 </t>
  </si>
  <si>
    <t xml:space="preserve">Phần B, XII, 2. QĐ 32/2024 </t>
  </si>
  <si>
    <t xml:space="preserve">Phần B, XI, 3. QĐ 32/2024 </t>
  </si>
  <si>
    <t xml:space="preserve">Phần B, XIII. QĐ 32/2024 </t>
  </si>
  <si>
    <t xml:space="preserve">Phần B, V, 7. QĐ 32/2024 </t>
  </si>
  <si>
    <t xml:space="preserve">Phần B, VII, 2. QĐ 32/2024 </t>
  </si>
  <si>
    <t xml:space="preserve">Phần A, IV.1, 2. QĐ 32/2024 </t>
  </si>
  <si>
    <t>Tấm đan BTCT (xây dựng trên đất HLĐB).</t>
  </si>
  <si>
    <t>Phần B, X, 4. QĐ 32/2024, đề xuất hỗ trợ theo QĐ 337/QĐ-UBND ngày 22/4/2026</t>
  </si>
  <si>
    <t>Phần B, II, 3. QĐ 32/2024, đề xuất hỗ trợ theo QĐ 337/QĐ-UBND ngày 22/4/2026</t>
  </si>
  <si>
    <t xml:space="preserve">STT 2, Mục II, Phần B QĐ 32/2024 </t>
  </si>
  <si>
    <t xml:space="preserve">Phần B, XI, 1. QĐ 32/2024  </t>
  </si>
  <si>
    <t>Phần B, X, 4. QĐ 32/2024, đề xuất hỗ trợ theo QĐ 337/QĐ-UBND của UBND xã Thuận An</t>
  </si>
  <si>
    <t>Phần B, II, 3. QĐ 32/2024, đề xuất hỗ trợ theo QĐ 337/QĐ-UBND của UBND xã Thuận An</t>
  </si>
  <si>
    <t>Phần B, IX, 3 QĐ 32/2024, đề xuất hỗ trợ theo QĐ 337/QĐ-UBND của UBND xã Thuận An</t>
  </si>
  <si>
    <t xml:space="preserve">Phần B, IX, 1 QĐ 32/2024 </t>
  </si>
  <si>
    <t>Xây dựng trên đất giao thông, đề xuất hỗ trợ theo QĐ 337/QĐ-UBND của UBND xã Thuận An</t>
  </si>
  <si>
    <t>Phần B, IX, 3. QĐ 32/2024, đề xuất hỗ trợ theo QĐ 337/QĐ-UBND của UBND xã Thuận An</t>
  </si>
  <si>
    <t>Móng xây đá hộc (cao trung bình 0,4m, rộng 0,3m, dài 17,8m)</t>
  </si>
  <si>
    <t>Phần B, II, 23. QĐ 32/2024, đề xuất hỗ trợ theo QĐ số 337/QĐ-UBND ngày 22/4/2026</t>
  </si>
  <si>
    <t>XD trên đất hành lang giao thông, đề xuất hỗ trợ theo QĐ số 337/QĐ-UBND ngày 22/4/2026</t>
  </si>
  <si>
    <t>Phần B, XII, 2. QĐ 32/2024, , đề xuất hỗ trợ theo QĐ số 337/QĐ-UBND ngày 22/4/2026</t>
  </si>
  <si>
    <t>Phần B, XIII, 7. QĐ 32/2025, đề xuất hỗ trợ theo QĐ số 337/QĐ-UBND ngày 22/4/2026</t>
  </si>
  <si>
    <t>Phần B, VI, 3. QĐ 32/2025, đề xuất hỗ trợ theo QĐ số 337/QĐ-UBND ngày 22/4/2026</t>
  </si>
  <si>
    <t xml:space="preserve">Móng xây đá hộc (cao 40cm, dày 30cm), dài 5m. </t>
  </si>
  <si>
    <t xml:space="preserve">Phần B, IX, QĐ 32/2024 </t>
  </si>
  <si>
    <t>Phần B, II, 3. QĐ 32/2025, đề xuất hỗ trợ theo QĐ số 337/QĐ-UBND ngày 22/4/2026</t>
  </si>
  <si>
    <t>Ốp trụ cổng loại gạch ceramic 69cm x 30cm. Diện tích: 0,3m x cao 0,6m x 4 mặt</t>
  </si>
  <si>
    <t xml:space="preserve">Móng xây đá hộc (dày 20cm, cao 20cm) dài 8,6m. </t>
  </si>
  <si>
    <t>xây gạch ống phía trên, tô vữa xi măng ( dày 10cm, cao 20cm) trên rào lưới B40 cao 1,2m, trụ bê tông cốt thép (10cm x 10cm x 1,5m). Chiều dài xây dựng: 12m, chiều dài ảnh hưởng 8,6m. Không giằng BTCT tính bằng 90%, đơn giá BT là 1.190.700 đồng/m².</t>
  </si>
  <si>
    <t>Phần B, II, 3. QĐ 32/2024,  đề xuất hỗ trợ theo QĐ số 337/QĐ-UBND ngày 22/4/2026</t>
  </si>
  <si>
    <t>Móng xây đá hộc (cao 0,7m, dày 0,2m)  dài 3,7m.</t>
  </si>
  <si>
    <t>Phần B, IX. QĐ 32/2024</t>
  </si>
  <si>
    <t>PL B, II, 2. QĐ 32/2024, đề xuất hỗ trợ theo QĐ số 337/QĐ-UBND ngày 22/4/2026</t>
  </si>
  <si>
    <t>PL B, II, 23. QĐ 32/2024, đề xuất hỗ trợ theo QĐ số 337/QĐ-UBND ngày 22/4/2026</t>
  </si>
  <si>
    <t>Đá nguyên khối (đá xanh), cao 4m/1 trụ (2 trụ), đường kính trụ 50x50cm</t>
  </si>
  <si>
    <t>Nằm ngoài cổng. Kết cấu: Bê tông đá 1 x 2, diện tích:(2,2m x 3,4m)+ (2,9m x2,8m)</t>
  </si>
  <si>
    <t>Inox (xây hai bên cầu) cao  0,8m, dài 11,2m (5,6m/1 bên)</t>
  </si>
  <si>
    <r>
      <t xml:space="preserve">Đường kính gốc </t>
    </r>
    <r>
      <rPr>
        <sz val="14"/>
        <color theme="1"/>
        <rFont val="Symbol"/>
        <family val="1"/>
        <charset val="2"/>
      </rPr>
      <t>³</t>
    </r>
    <r>
      <rPr>
        <sz val="14"/>
        <color theme="1"/>
        <rFont val="Times New Roman"/>
        <family val="1"/>
      </rPr>
      <t>5cm</t>
    </r>
  </si>
  <si>
    <r>
      <t>m</t>
    </r>
    <r>
      <rPr>
        <vertAlign val="superscript"/>
        <sz val="14"/>
        <color theme="1"/>
        <rFont val="Times New Roman"/>
        <family val="1"/>
      </rPr>
      <t>2</t>
    </r>
  </si>
  <si>
    <r>
      <t>m</t>
    </r>
    <r>
      <rPr>
        <vertAlign val="superscript"/>
        <sz val="14"/>
        <color theme="1"/>
        <rFont val="Times New Roman"/>
        <family val="1"/>
      </rPr>
      <t>3</t>
    </r>
  </si>
  <si>
    <r>
      <t>Tổng diện tích đất đang sử dụng (m</t>
    </r>
    <r>
      <rPr>
        <b/>
        <vertAlign val="superscript"/>
        <sz val="14"/>
        <color theme="1"/>
        <rFont val="Times New Roman"/>
        <family val="1"/>
      </rPr>
      <t>2</t>
    </r>
    <r>
      <rPr>
        <b/>
        <sz val="14"/>
        <color theme="1"/>
        <rFont val="Times New Roman"/>
        <family val="1"/>
      </rPr>
      <t>)</t>
    </r>
  </si>
  <si>
    <r>
      <t>Tổng diện tích thửa đất bị thu hồi (m</t>
    </r>
    <r>
      <rPr>
        <b/>
        <vertAlign val="superscript"/>
        <sz val="14"/>
        <color theme="1"/>
        <rFont val="Times New Roman"/>
        <family val="1"/>
      </rPr>
      <t>2</t>
    </r>
    <r>
      <rPr>
        <b/>
        <sz val="14"/>
        <color theme="1"/>
        <rFont val="Times New Roman"/>
        <family val="1"/>
      </rPr>
      <t>)</t>
    </r>
  </si>
  <si>
    <r>
      <t>Diện tích đất bị thu hồi (m</t>
    </r>
    <r>
      <rPr>
        <b/>
        <vertAlign val="superscript"/>
        <sz val="14"/>
        <color theme="1"/>
        <rFont val="Times New Roman"/>
        <family val="1"/>
      </rPr>
      <t>2</t>
    </r>
    <r>
      <rPr>
        <b/>
        <sz val="14"/>
        <color theme="1"/>
        <rFont val="Times New Roman"/>
        <family val="1"/>
      </rPr>
      <t>)</t>
    </r>
  </si>
  <si>
    <r>
      <t>Đất ở (m</t>
    </r>
    <r>
      <rPr>
        <b/>
        <vertAlign val="superscript"/>
        <sz val="14"/>
        <color theme="1"/>
        <rFont val="Times New Roman"/>
        <family val="1"/>
      </rPr>
      <t>2</t>
    </r>
    <r>
      <rPr>
        <b/>
        <sz val="14"/>
        <color theme="1"/>
        <rFont val="Times New Roman"/>
        <family val="1"/>
      </rPr>
      <t>)</t>
    </r>
  </si>
  <si>
    <r>
      <t>Đất nông nghiệp (m</t>
    </r>
    <r>
      <rPr>
        <b/>
        <vertAlign val="superscript"/>
        <sz val="14"/>
        <color theme="1"/>
        <rFont val="Times New Roman"/>
        <family val="1"/>
      </rPr>
      <t>2</t>
    </r>
    <r>
      <rPr>
        <b/>
        <sz val="14"/>
        <color theme="1"/>
        <rFont val="Times New Roman"/>
        <family val="1"/>
      </rPr>
      <t>)</t>
    </r>
  </si>
  <si>
    <r>
      <t>Mức bồi thường = L 
(</t>
    </r>
    <r>
      <rPr>
        <b/>
        <sz val="14"/>
        <color theme="1"/>
        <rFont val="Symbol"/>
        <family val="1"/>
        <charset val="2"/>
      </rPr>
      <t>£</t>
    </r>
    <r>
      <rPr>
        <b/>
        <sz val="14"/>
        <color theme="1"/>
        <rFont val="Times New Roman"/>
        <family val="1"/>
      </rPr>
      <t xml:space="preserve"> L)</t>
    </r>
  </si>
  <si>
    <t>Sân (phần xây dựng trên đất giao thông)</t>
  </si>
  <si>
    <t xml:space="preserve">Phần B, II, 3. QĐ 32/2024  </t>
  </si>
  <si>
    <r>
      <t>Diện tích chiếm đất (m</t>
    </r>
    <r>
      <rPr>
        <b/>
        <vertAlign val="superscript"/>
        <sz val="14"/>
        <color theme="1"/>
        <rFont val="Times New Roman"/>
        <family val="1"/>
      </rPr>
      <t>2</t>
    </r>
    <r>
      <rPr>
        <b/>
        <sz val="14"/>
        <color theme="1"/>
        <rFont val="Times New Roman"/>
        <family val="1"/>
      </rPr>
      <t>)</t>
    </r>
  </si>
  <si>
    <r>
      <t xml:space="preserve">Đường kính ≥ 3cm, cao </t>
    </r>
    <r>
      <rPr>
        <sz val="14"/>
        <color theme="1"/>
        <rFont val="Symbol"/>
        <family val="1"/>
        <charset val="2"/>
      </rPr>
      <t>³</t>
    </r>
    <r>
      <rPr>
        <sz val="14"/>
        <color theme="1"/>
        <rFont val="Times New Roman"/>
        <family val="1"/>
      </rPr>
      <t xml:space="preserve"> 1m</t>
    </r>
  </si>
  <si>
    <r>
      <t xml:space="preserve">Đường kính </t>
    </r>
    <r>
      <rPr>
        <sz val="14"/>
        <color theme="1"/>
        <rFont val="Symbol"/>
        <family val="1"/>
        <charset val="2"/>
      </rPr>
      <t>³</t>
    </r>
    <r>
      <rPr>
        <sz val="14"/>
        <color theme="1"/>
        <rFont val="Times New Roman"/>
        <family val="1"/>
      </rPr>
      <t xml:space="preserve"> 3cm, cao ≥ 1m</t>
    </r>
  </si>
  <si>
    <t>Xây gạch ống, tô vữa xi măng (cao 1,3m dày 0,1m), trụ xây gạch, tô vữa xi măng. DTXD=DTAH: cao 1,3m x dài 3,7m. Không giằng BTCT tính bằng 90%, không giằng BTCT tính bằng 80%, đơn giá BT là: 1.008.000 đồng/m².</t>
  </si>
  <si>
    <r>
      <t xml:space="preserve">Đường kính </t>
    </r>
    <r>
      <rPr>
        <sz val="14"/>
        <color theme="1"/>
        <rFont val="Symbol"/>
        <family val="1"/>
        <charset val="2"/>
      </rPr>
      <t>³</t>
    </r>
    <r>
      <rPr>
        <sz val="14"/>
        <color theme="1"/>
        <rFont val="Times New Roman"/>
        <family val="1"/>
      </rPr>
      <t xml:space="preserve"> 7cm, cao &gt;1,5m</t>
    </r>
  </si>
  <si>
    <t>Móng xây đá hộc, tường xây gạch ống dày 10cm, trụ gạch chịu lực. DTXD=DTAH: cao 1,6m x dài 0,6m.  Đơn giá 1.400.000 đồng, trụ gạch tính bằng 80%, không giằng BTCT tính bằng 90%</t>
  </si>
  <si>
    <t>Móng xây đá hộc, tường xây gạch ống dày 0,1m, tô vữa xi măng, trụ xây gạch. DTXD= DTAH: 2,85m x cao 2m. Trụ gạch tính bằng 80%, không giằng BTCT tính bằng 90%, đơn giá BT là 1.008.000 đồng/m².</t>
  </si>
  <si>
    <t>Móng xây đá hộc, tường xây gạch ống dày 0,1m, tô vữa xi măng, trụ xây gạch. DTXD: cao 1,2m x dài 2,3m; DTAH: cao 1,2m x dài 1m. Trụ gạch tính bằng 80%, không giằng BTCT tính bằng 90%, đơn giá BT là 1.008.000 đồng/m².</t>
  </si>
  <si>
    <t>Móng xây + xây gạch ống (dày 0,1m, cao 0,4m), tô vữa xi măng; trên rào khung sắt thoáng (cao 1,2m); trụ xây gạch ống, tô vữa xi măng ( 0,3m x 0,3m x 2m). DTXD= DTAH: 1,6m x 2,6m. Đơn giá 1.487.000, trụ gạch tính bằng 80%, không giằng BTCT tính bằng 90%</t>
  </si>
  <si>
    <t>Móng xây gạch ống, tô vữa xi măng, trên rào khung sắt thoáng, trụ xây gạch ống có tô vữa xi măng. DTXD=DTAH: cao TB 3m x dài 1,2m. Trụ gạch tính bằng 80%, không giằng BTCT tính bằng 90%, đơn giá BT là 1.070.640 đồng/m².</t>
  </si>
  <si>
    <r>
      <t xml:space="preserve">Giai đoạn kinh doanh </t>
    </r>
    <r>
      <rPr>
        <sz val="14"/>
        <color theme="1"/>
        <rFont val="Symbol"/>
        <family val="1"/>
        <charset val="2"/>
      </rPr>
      <t>³ 21</t>
    </r>
  </si>
  <si>
    <r>
      <t xml:space="preserve">Giai đoạn kinh doanh </t>
    </r>
    <r>
      <rPr>
        <sz val="14"/>
        <color theme="1"/>
        <rFont val="Symbol"/>
        <family val="1"/>
        <charset val="2"/>
      </rPr>
      <t>17-20</t>
    </r>
  </si>
  <si>
    <r>
      <t xml:space="preserve">Cao ≥ 4,5m, Đường kính gốc </t>
    </r>
    <r>
      <rPr>
        <sz val="14"/>
        <color theme="1"/>
        <rFont val="Symbol"/>
        <family val="1"/>
        <charset val="2"/>
      </rPr>
      <t>³</t>
    </r>
    <r>
      <rPr>
        <sz val="14"/>
        <color theme="1"/>
        <rFont val="Times New Roman"/>
        <family val="1"/>
      </rPr>
      <t xml:space="preserve"> 40cm</t>
    </r>
  </si>
  <si>
    <r>
      <t xml:space="preserve">Đường kính gốc &gt;10cm đến </t>
    </r>
    <r>
      <rPr>
        <sz val="14"/>
        <color theme="1"/>
        <rFont val="Symbol"/>
        <family val="1"/>
        <charset val="2"/>
      </rPr>
      <t>£</t>
    </r>
    <r>
      <rPr>
        <sz val="14"/>
        <color theme="1"/>
        <rFont val="Times New Roman"/>
        <family val="1"/>
      </rPr>
      <t>15cm</t>
    </r>
  </si>
  <si>
    <t>Hàng rào (phần xây dựng trên đất giao thông)</t>
  </si>
  <si>
    <t>Móng xây đá hộc; cột, dầm bê tông cốt thép, tường xây gạch ống dày 10cm, sơn nước hoàn thiện, mái bê tông cốt thép, cửa gỗ + kính, nền gạch ceramic 30x30cm, không trần. DTXD: 8,2m x 5,8m; DTAH: 0,95m x 8,2m.</t>
  </si>
  <si>
    <t>Sân (phần XD trên đất hành lang giao thông)</t>
  </si>
  <si>
    <t>Hàng rào (phần Xd trên đất hành lang giao thông)</t>
  </si>
  <si>
    <t>Móng xây đá hộc; trụ, tường xây gạch ống dày 0,1m, tô vữa xi măng; Chiều dài XD= chiều dài ảnh hưởng: 6m, cao 1m. Đơn giá 1.400.000 đồng, trụ gạch tính bằng 80%, không giằng BTCT tính bằng 90% đơn giá</t>
  </si>
  <si>
    <r>
      <t>Khối lượng (m</t>
    </r>
    <r>
      <rPr>
        <b/>
        <vertAlign val="superscript"/>
        <sz val="14"/>
        <color theme="1"/>
        <rFont val="Times New Roman"/>
        <family val="1"/>
      </rPr>
      <t>2</t>
    </r>
    <r>
      <rPr>
        <b/>
        <sz val="14"/>
        <color theme="1"/>
        <rFont val="Times New Roman"/>
        <family val="1"/>
      </rPr>
      <t>)</t>
    </r>
  </si>
  <si>
    <t>Thửa đất số 9, mảnh trích đo 6-2023, xã Đắk Lao, diện tích 181,2m². Tương ứng với một phần thửa đất số 319, tờ bản đồ 10</t>
  </si>
  <si>
    <t>Ông Lê Tấn Huy sinh năm 1959 số CCCD 051059008519 cấp ngày 27/12/2021</t>
  </si>
  <si>
    <t>(Kèm theo Báo cáo số     /BC-HĐTĐ ngày     tháng     năm 2026 của Hội đồng thẩm định số 312)</t>
  </si>
  <si>
    <t>Đã được bồi thường bằng tiền tại Quyết định 640/QĐ-UBND, ngày 29/12/2025 của UBND xã Thuận An</t>
  </si>
  <si>
    <t>Móng đá hộc, chân gạch cao 40cm, trụ xây gạch có tô, matit sơn nước 0,3m x 0,3m trên thưng sắt thoáng DTXD=DTAH: 8,8m, cao TB 2m. Không trụ BTCT tính bằng 80%, không giằng BTCT tính bằng 90%, đơn giá là 1.070.640 đồng/m2</t>
  </si>
  <si>
    <t xml:space="preserve">Phần B, XIII.4 QĐ 32/2024 </t>
  </si>
  <si>
    <t>xây gạch ống, cốt thép, ốp gạch ceramic 4 mặt, xây gạch ống. DTXD=DTAH (0,45m x 0,45m ) x cao 2,5m x 2 trụ</t>
  </si>
  <si>
    <t>PL B, VI,1, QĐ 32/2024</t>
  </si>
  <si>
    <t>PL B III, 12. QĐ 32/2024</t>
  </si>
  <si>
    <t>PL B XI, 1, QĐ 32/2024</t>
  </si>
  <si>
    <t>Xây gạch ống, tô matit sơn nước, móng đá hộc, trụ xây gạch, tường dày 10cm. DTXD=DTAH (6,6m x 2m). Không giằng BTCT tính bằng 90%, không trụ BTCT tính bằng 80%.</t>
  </si>
  <si>
    <t xml:space="preserve">Phần B, XIII.2 QĐ 32/2024 </t>
  </si>
  <si>
    <t xml:space="preserve">PL B, III, 2. QĐ 32/2024 </t>
  </si>
  <si>
    <r>
      <rPr>
        <sz val="12"/>
        <color theme="1"/>
        <rFont val="Times New Roman"/>
        <family val="1"/>
      </rPr>
      <t xml:space="preserve">Sân bê tông kết cấu đá 4x6, đá 1x2, trên </t>
    </r>
    <r>
      <rPr>
        <sz val="12"/>
        <color theme="1"/>
        <rFont val="Times New Roman"/>
        <family val="1"/>
      </rPr>
      <t>lát gạch bát tràng</t>
    </r>
    <r>
      <rPr>
        <sz val="12"/>
        <color theme="1"/>
        <rFont val="Times New Roman"/>
        <family val="1"/>
      </rPr>
      <t xml:space="preserve"> DTXD=DTAH (6,3m x 6m)</t>
    </r>
  </si>
  <si>
    <t xml:space="preserve">PL B, II. QĐ 32/2024 </t>
  </si>
  <si>
    <t>(Kèm theo Phương án số:      /PA-BQL ngày        tháng     năm 2026 của Ban Quản lý dự án đầu tư xây dựng khu vực Đắk Mil)</t>
  </si>
  <si>
    <t>Giấy CNQSD đất số BL 804854 cấp ngày 11/6/2013 và BE 351579 cấp ngày 6/6/2011</t>
  </si>
  <si>
    <r>
      <rPr>
        <sz val="12"/>
        <color theme="1"/>
        <rFont val="Times New Roman"/>
        <family val="1"/>
      </rPr>
      <t xml:space="preserve">Kết cấu: khung sắt trụ </t>
    </r>
    <r>
      <rPr>
        <sz val="12"/>
        <color theme="1"/>
        <rFont val="Calibri"/>
        <family val="2"/>
      </rPr>
      <t>Ø</t>
    </r>
    <r>
      <rPr>
        <sz val="12"/>
        <color theme="1"/>
        <rFont val="Times New Roman"/>
        <family val="1"/>
      </rPr>
      <t xml:space="preserve"> 60, không móng, thưng tôn, nền xi măng, mái lợp tôn sóng vuông, không trần, cửa sắt, cao TB 3,2m. DTXD: 3,7m x 6,1m. DTAH: 6,1*(3,7 +2,7)/2. (tính theo đơn giá nhà cột thép hình 1 tầng, vách tôn, mái tôn: 2.418.000 đồng; không móng tính bằng 55% đơn giá)</t>
    </r>
  </si>
  <si>
    <t>Phần A, II, 5. QĐ 32/2024</t>
  </si>
  <si>
    <t>PL B, II, 4. QĐ 32/2024</t>
  </si>
  <si>
    <t>PL B, II, 10. QĐ 32/2024</t>
  </si>
  <si>
    <t>Sắt thoáng kết cấu: móng đá hộc, trụ + chân xây gạch ống cao trung bình 0,3m, trên thưng sắt thoáng. DTXD = DTAH: dài 5,7m, cao TB 2,3m. Không trụ BTCT tính bằng 80%, không giằng BTCT tính bằng 90%, đơn giá BT là 1.070.640 đồng/m2</t>
  </si>
  <si>
    <t>Phần B, XIII.4 QĐ 32/2024</t>
  </si>
  <si>
    <t>Kết cấu: móng đá hộc, chân gạch cao trung bình 30cm + khung sắt thoáng, trụ bê tông, cao trung bình 2,1m, DTXD = DTAH: dài 10,5m. Không giằng BTCT tính bằng 90%, đơn giá BT là 1.338.300 đồng/m².</t>
  </si>
  <si>
    <t>móng đá hộc cao trung bình 30cm, dài 10,5m, dày 30cm</t>
  </si>
  <si>
    <t>Phần B, IX,2 QĐ 32/2024</t>
  </si>
  <si>
    <t>PL XIV. QĐ 32/2024</t>
  </si>
  <si>
    <t>Giấy CNQSD đất số D 0494776 cấp ngày 15/7/1994 và AD 023060 cấp ngày 09/8/2005</t>
  </si>
  <si>
    <t>Móng đá hộc, tường xây gạch có tô, cao TB 2,5m, trụ xây gạch ống, tường dày 10cm. DTXD=DTAH 5,6m. Đơn giá 1.400.000 đồng. Không trụ BTCT tính bằng 80%, không giằng BTCT tính bằng 90%, đơn giá BT là 1.008.000 đồng/m².</t>
  </si>
  <si>
    <t>Móng xây đá hộc, trên thưng sắt thoáng, chân gạch cao TB 0,3m, trụ xây gạch có tô sơn nước, DTXD=DTAH 5m, cao TB 2,2m. Đơn giá 1.487.000 đồng. Không trụ BTCT tính bằng 80%, không giằng BTCT tình bằng 90%, đơn giá BT là 1.070.064 đồng/m².</t>
  </si>
  <si>
    <t xml:space="preserve">Phần B, X, 4. QĐ 32/2024, nằm ngoài lộ giới </t>
  </si>
  <si>
    <t xml:space="preserve">Phần B, IX, 3. QĐ 32/2024, nằm ngoài lộ giới </t>
  </si>
  <si>
    <t xml:space="preserve">Phần B, II, 3. QĐ 32/2024, nằm ngoài lộ giới </t>
  </si>
  <si>
    <t>Móng đá hộc, chân xây gạch cao TB 0,4m, trên thưng sắt thoáng, trụ xây gạch có tô, sơn nước, cao TB 2,2m, DTXD=DTAH 12,5m. Đơn giá 1.487.000 đồng, Không trụ BTCT tính bằng 80%, không giằng BTCT tính bằng 90%, đơn giá BT là 1.070.640 đồng/m².</t>
  </si>
  <si>
    <r>
      <rPr>
        <sz val="12"/>
        <color theme="1"/>
        <rFont val="Times New Roman"/>
        <family val="1"/>
      </rPr>
      <t>m</t>
    </r>
    <r>
      <rPr>
        <sz val="12"/>
        <color theme="1"/>
        <rFont val="Times New Roman"/>
        <family val="1"/>
      </rPr>
      <t>2</t>
    </r>
  </si>
  <si>
    <t>Tường rào (tính theo giá tường xây gạch ống, không trát, day 20cm)</t>
  </si>
  <si>
    <t>Phần B, V.3 QĐ 32/2024</t>
  </si>
  <si>
    <t>Xây gạch ống, cốt thép, DTXD (0,6m x 0,6m x 4m) x 2 trụ, có ốp đá tự nhiên</t>
  </si>
  <si>
    <t>Giấy CNQSD đất số DI 473350 cấp ngày 12/6/2023 và DI 473352 cấp Ngày 12/6/2023</t>
  </si>
  <si>
    <t xml:space="preserve">Phần B, XIII.7 QĐ 32/2024 </t>
  </si>
  <si>
    <t>Phần B, XIII.7 QĐ 32/2024</t>
  </si>
  <si>
    <t>Móng xây đá hộc, tường xây gạch ống dày 0,1m; tô vữa xi măng, trụ xây gạch cốt thép. Kích thước: (0,2 x 0,2 x1,6) ảnh hưởng 2 trụ. DTXD: 17m x cao 1,6m. DTAH: 4,7m x 1,6m (ảnh hưởng đến trụ gần nhất là 1,6m). Không giằng BTCT tính bằng 90%, không trụ BTCT tính bằng 80%, đơn giá BT là 1.008.000 đồng/m².</t>
  </si>
  <si>
    <t>Xây gạch ống thủ công, có tô xi măng dày 15cm, có ốp đá chẻ bên ngoài, cộng vữa xi măng, trụ xây gạch có bê tông 30x30cm, khoảng cách 2,5m/1 trụ, móng xây đá hộc dày 0,3m
DTXD: dài 3,8m, cao 2,5m (cộng máng)
DTAH: dài 3,3m, cao 2,5m</t>
  </si>
  <si>
    <t>Phần B, XIII.2 QĐ 32/2024</t>
  </si>
  <si>
    <t>Móng xây đá hộc cao 60cm, cộng vữa xi măng, trên thưng sắt, khung sắt 4x6,2,64 song sắt 3x2 (cao 1,5m) dài 2,2m, trụ xây gạch</t>
  </si>
  <si>
    <t>Bên hông cổng, móng xây đá hộc, trên xây gạch ống thủ công, có tô vữa xi măng, tường dày 15cm, cao 2,2m,dài 6,2m, trụ xây gạch</t>
  </si>
  <si>
    <t>móng xây đá hộc, dài 6,2m, cao 30cm, dày 30cm</t>
  </si>
  <si>
    <t>Phần B, IX,2. QĐ 32/2024</t>
  </si>
  <si>
    <t>Phần B, II. QĐ 32/2024</t>
  </si>
  <si>
    <t>Trụ cổng (tính theo giá trụ xây đá hộc)</t>
  </si>
  <si>
    <r>
      <rPr>
        <sz val="12"/>
        <color theme="1"/>
        <rFont val="Times New Roman"/>
        <family val="1"/>
      </rPr>
      <t>m</t>
    </r>
    <r>
      <rPr>
        <sz val="12"/>
        <color theme="1"/>
        <rFont val="Times New Roman"/>
        <family val="1"/>
      </rPr>
      <t>3</t>
    </r>
  </si>
  <si>
    <t>Móng xây đá hộc, tường xây gạch ống dày 15cm, có tô vữa xi măng Trụ xây gạch KLXD: 6,3m* Cao1,6m, KLAH: 3,8m* Cao1,6m</t>
  </si>
  <si>
    <t>Móng xây đá hộc, dài 3,8m, cao 30cm, dày 30cm</t>
  </si>
  <si>
    <t>ốp đá chẻ 1 mặt (3,8m*1,4m)
tính theo giá đá granite tự nhiên</t>
  </si>
  <si>
    <t xml:space="preserve">Trụ cổng </t>
  </si>
  <si>
    <t>Sắt thoáng, móng đá hộc xây cao 60cm, trên khung sắt 4x6, song sắt 2x3, trụ xây gạch 30cm x 30cm. DTAH (dài 4m x cao 2,1m). Không giằng BTCT tính bằng 90%, không trụ BTCT tính bằng 80%, đơn giá BT là 1.070.640 đồng/m².</t>
  </si>
  <si>
    <t>PL II. QĐ 26/2024</t>
  </si>
  <si>
    <t>xây đá hộc, có giằng bê tông cốt thép (rộng TB 0,7m, cao 2,2m), trên gắn khung sắt thoáng cao 1,5m, trụ xây gạch ống (0,3m x 0,3m x cao 1,5m) sơn bả hoàn thiện. KLXD = KLAH: dài 2,2m x cao 4m (bao gồm cả móng và khung sắt thoáng). Đơn giá 1.487.000 đồng, trụ gạch tính bằng 80% đơn giá</t>
  </si>
  <si>
    <t>móng xây đá hộc, cao 30cm, dài 2,2m, dày 70cm</t>
  </si>
  <si>
    <r>
      <t>m</t>
    </r>
    <r>
      <rPr>
        <sz val="12"/>
        <color theme="1"/>
        <rFont val="Times New Roman"/>
        <family val="1"/>
      </rPr>
      <t>3</t>
    </r>
  </si>
  <si>
    <t>xây đá hộc (rộng 0,3 m, cao TB 0,4 m); trên gắn khung sắt thoáng cao 1,5 m; trụ xây gạch ống, có tô VXM. DT: cao TB 1,9 m x dài 2,1 m. Đơn giá 1.487.000 đồng. Không giằng BTCT tính bằng 90%, không trụ BTCT tính bằng 80%</t>
  </si>
  <si>
    <t>Móng xây đá hộc (rộng 0,3 m, cao TB 0,3 m), dài 2,1m</t>
  </si>
  <si>
    <t>Phần B, XIV. QĐ 32/2024</t>
  </si>
  <si>
    <t>Phần B, II, 11. QĐ 32/2024</t>
  </si>
  <si>
    <t>Móng đá hộc (dày 0,3m cao 0,3m, dài 5m); trên gắn khung sắt thoáng (cao 1,5m, dài 5m); trụ xây gạch ống có tô vữa xi măng + quét vôi (0,3m x 0,3m x cao 1,9m. KLXD: cao TB 1,8m x 6,7m (1,7m xây dựng trên đất liền kề là bà Kiều Thị Xuyến). KLAH: cao TB 1,8m x 5m. Đơn giá 1.487.000 đồng, Không trụ BTCT tính bằng 80%, không giằng BTCT tính bằng 90%</t>
  </si>
  <si>
    <t>Móng xây gạch ống, trụ, tường xây gạch ống, có tô vữa xi măng, dày 0,1 m, cao 1,5 m, chiều dài xây dựng = dài ảnh hưởng: 4,1 m.Đơn giá 1.400.000 đồng, không trụ BTCT tính bằng 80%, không giằng BTCT tính bằng 90%.</t>
  </si>
  <si>
    <t xml:space="preserve"> xây chân gạch ống lửng (rộng 0,2m, cao 0,45m, dài 17,8m, có sơn nước hoàn thiện); trụ xây gạch ống có sơn nước hoàn thiện (0,3m x 0,3m x 1,5m); rào khung gỗ thoáng cao 1,4m, dài 17,8m (ảnh hưởng 7 trụ rào). chiều dài xây dựng 30m, Chiều dài ảnh hưởng 17,8m. Đơn giá 1.487.000 đồng, Không giằng BTCT tính bằng 90%, không trụ BTCT tính bằng 80%</t>
  </si>
  <si>
    <t>Phần B, XIII, 2. QĐ 32/2024, đề xuất hỗ trợ theo QĐ số 337/QĐ-UBND ngày 22/4/2026</t>
  </si>
  <si>
    <t>Phần B, IX, 3. QĐ 32/2025, đề xuất hỗ trợ theo QĐ số 337/QĐ-UBND ngày 22/4/2026</t>
  </si>
  <si>
    <t xml:space="preserve"> trên xây gạch ống lửng (dày 10cm, cao 40cm, tô vữa xi măng); gắn lưới B40 khung sắt cao 1,4m; trụ xây gạch ống, tô vữa xi măng (KT: 30cm x 30cm x cao 2 m x 2 trụ). Chiều dài ảnh hưởng: 5m. Đơn giá 1.323.000 đồng. Trụ gạch tính bằng 80%, không giằng BTCT tính bằng 90%. Đơn giá BT là 952.560 đồng/m².</t>
  </si>
  <si>
    <t>Phần B, XIII.5 QĐ 32/2024</t>
  </si>
  <si>
    <t>Móng xây đá hộc cao 30cm, dày 20cm, trụ,  kết hợp xây gạch phía trên cao 10cm, dày 20cm, có tô vữa xi măng, rào lưới B40 khung viên sắt cao 1,9m, chiều dài xây dựng = dài ảnh hường 5,7m. Không giằng BTCT tính bằng 90%, không trụ BTCT tính bằng 80%, đơn giá BT là 952.560 đồng/m².</t>
  </si>
  <si>
    <t xml:space="preserve">Phần B, XIII.5 QĐ 32/2024 </t>
  </si>
  <si>
    <t>Móng xây đá hộc, giằng bê tông cốt thép, tường xây gạch ông dày 10cm, bổ trụ tăng cường, trần tôn lạnh, mái lợp tôn, có sê nô mặt đứng bê tông cốt thép (có 02 trụ bê tông cốt thép) nền gạch ceramic 30x30cm DTXD: 16m x 5m. DTAH: 1,6m x 5m (ảnh hưởng 02 trụ bê tông cốt thép ,mái sê nô BTCT).</t>
  </si>
  <si>
    <t>Móng xây đá hộc, vữa xi măng (dày 0,2m, cao 0,2m), trụ xây gạch ống, tô vữa xi măng (0,3m x 0,3m x cao 2 x 3trụ); Rào lưới B40 khung viền sắt V; chiều dài xây dựng: 20m; chiều dài ảnh hưởng 12,4m (rào cao lưới B40, viền khung sắt V cao 1,5m). Không trụ BTCT tính bằng 80%, không giằng BTCT tính bằng 90%, đơn giá BT là 952.560 đồng/m².</t>
  </si>
  <si>
    <t xml:space="preserve">Phần B, VI, 3. QĐ 32/2024 </t>
  </si>
  <si>
    <t>Móng xây đá hộc, xây vậy gạch ống lửng, sơn nước hoàn thiện (cao 0,3m, dày 0,2m), trên rào sắt thoáng cao 1,2m, chiều dài XD = dài AH: 1,4m. Trụ xây gạch ống, sơn nước (30x30cm). Không giằng BTCT tính bằng 90%, không trụ BTCT tính bằng 80%, đơn giá BT là 1.070.640 đồng/m².</t>
  </si>
  <si>
    <t xml:space="preserve">Móng xây đá hộc, tường xây gạch ống dày 0,15m, sơn nước hoàn thiện, trụ xây gạch.  DTXD: cao 1,4m x dài 7m. DTAH: cao 1,4m x 5,2m. </t>
  </si>
  <si>
    <t xml:space="preserve">Móng xây đá hộc, dày 30cm, cao 30cm, dài 5,2m. </t>
  </si>
  <si>
    <t xml:space="preserve">Phần B, IX, 2. QĐ 32/2024 </t>
  </si>
  <si>
    <t>Bê tông đá 1 x 2. DTXD=DTAH: (2,8m x 5,9m)</t>
  </si>
  <si>
    <t>Bê tông đá 1 x 2. DTXD=DTAH: (5,7m x 6,4m)</t>
  </si>
  <si>
    <t>Móng xây gạch ống, trên rào sắt thoáng, trụ xây gạch ống ( 0,25m x 0,25m x 2m x 1trụ), không tô. DTXD=DTAH: dài 2,4m x cao 1,85m. Không giằng BTCT tính bằng 90%, không trụ BTCT tính bằng 80%, không tô trát tính bằng 70%, đơn giá BT là: 749.448 đồng/m².</t>
  </si>
  <si>
    <t>Móng xây gạch ống, dài 4,6m, trên rào sắt thoáng, trụ sắt kết hợp trụ xây gạch không tô. DTXD=DTAH: dài 4,6m x cao 2,8m. Không giằng BTCT tính bằng 90%, không trụ BTCT tính bằng 80%, không tô trát tính bằng 70%, đơn giá BT là: 749.448 đồng/m².</t>
  </si>
  <si>
    <t>Phần B, V.9 QĐ 32/2024</t>
  </si>
  <si>
    <t xml:space="preserve">Phần B, XIII, 4. QĐ 32/2024 </t>
  </si>
  <si>
    <t xml:space="preserve">Lưới B40, không móng, trụ bê tông đúc sẵn (0,1m x 0,1m x 1,7m).  DTXD: cao 1,5m x dài 7,7m; DTAH: cao 1,5m x dài 5,2m </t>
  </si>
  <si>
    <t>Chênh lệch giữa nền gạch ceramic 40x40cm đơn giá 262.000 đồng/m² và nền gạch ceramic 20x20cm đơn giá là 256.000 đồng/m² (áp dụng tương đương nền gạch ceramic 30x30cm).</t>
  </si>
  <si>
    <t>Phần C, 2, QĐ 32/2024</t>
  </si>
  <si>
    <t xml:space="preserve">Phần B, XIII, 2 QĐ 32/2024 </t>
  </si>
  <si>
    <t>Xây gạch ống 6 lỗ, tô vữa xi măng, dày 15cm, cao 2,3m, trên kết hợp hàng rào sắt thoáng cao 1m (sắt phi tròn 12). DTAH: 25,4m x cao 3,3m, đơn giá 1.487.000 đồng, trụ gạch tính bằng 80%, không giằng BTCT tính bằng 90% đơn giá</t>
  </si>
  <si>
    <t xml:space="preserve"> móng xây đá hộc cao 30cm, dày 30cm, dài 25,4m</t>
  </si>
  <si>
    <t>Trụ xây gạch, cốt thép chịu lực, tường xây gạch ống dày 10cm, sơn nước hoàn thiện, DTXD: cao 3,2m*dài 8m, DTAH: cao 3,2m* dài 5,3m (ảnh hưởng đến trụ chịu lực gần nhất là 2,7m). Đơn giá 1.400.000 đồng, không giằng BTCT tính bằng 90% đơn giá</t>
  </si>
  <si>
    <t>Phần B, XIII, 2 QĐ 32/2024</t>
  </si>
  <si>
    <t>Móng xây đá hộc cao 30cm, dày 30cm,dài 5,3m</t>
  </si>
  <si>
    <t>Trụ xây gạch, cốt thép chịu lực, tường xây gạch ống dày 10cm, DTXD = DTAH: cao 1,7m*dài 4,3m. Đơn giá 1.400.000 đồng, không giằng BTCT tính bằng 90%, không tô trát tính bằng 70% đơn giá.</t>
  </si>
  <si>
    <t>Móng xây đá hộc cao 30cm, dày 30cm,dài 4,3m</t>
  </si>
  <si>
    <t>ốp gạch ceramic loại gạch 30cm*45cm (ốp 1 mặt 2m*4,3m)</t>
  </si>
  <si>
    <t>Móng xây gạch ống,  có tô vữa xi măng, trụ xây gạch ống + tô vữa xi măng, (0,3m*0,3m* cao 2,2m) 3m một trụ , trên hàng rào sắt thoáng, DTXD = DTAH: cao TB 2m* dài 12,1m đơn giá 1.487.000 đồng, trụ gạch tính bằng 80%, không giằng BTCT tính bằng 90% đơn giá</t>
  </si>
  <si>
    <t>Phần B, XIII.QĐ 32/2024</t>
  </si>
  <si>
    <t>(Kèm theo Quyết định số     /QĐ-UBND ngày     tháng     năm 2026 của Ủy ban nhân dân xã Thuận 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</si>
</sst>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3" formatCode="_(* #,##0.00_);_(* \(#,##0.00\);_(* &quot;-&quot;??_);_(@_)"/>
    <numFmt numFmtId="164" formatCode="00000"/>
    <numFmt numFmtId="165" formatCode="0.0%"/>
    <numFmt numFmtId="166" formatCode="#,##0.0"/>
    <numFmt numFmtId="167" formatCode="0.0"/>
    <numFmt numFmtId="168" formatCode="_(* #,##0_);_(* \(#,##0\);_(* &quot;-&quot;??_);_(@_)"/>
    <numFmt numFmtId="169" formatCode="0.000"/>
    <numFmt numFmtId="170" formatCode="d\.m"/>
    <numFmt numFmtId="171" formatCode="#,##0;[Red]#,##0"/>
    <numFmt numFmtId="172" formatCode="#,##0.0;[Red]#,##0.0"/>
    <numFmt numFmtId="173" formatCode="#,##0.00;[Red]#,##0.00"/>
  </numFmts>
  <fonts count="41" x14ac:knownFonts="1">
    <font>
      <sz val="14"/>
      <color theme="1"/>
      <name val="Calibri"/>
      <scheme val="minor"/>
    </font>
    <font>
      <b/>
      <sz val="18"/>
      <color theme="1"/>
      <name val="Times New Roman"/>
      <family val="1"/>
    </font>
    <font>
      <sz val="14"/>
      <name val="Calibri"/>
      <family val="2"/>
    </font>
    <font>
      <i/>
      <sz val="18"/>
      <color theme="1"/>
      <name val="Times New Roman"/>
      <family val="1"/>
    </font>
    <font>
      <b/>
      <sz val="12"/>
      <color theme="1"/>
      <name val="Times New Roman"/>
      <family val="1"/>
    </font>
    <font>
      <b/>
      <i/>
      <sz val="12"/>
      <color theme="1"/>
      <name val="Times New Roman"/>
      <family val="1"/>
    </font>
    <font>
      <sz val="12"/>
      <color theme="1"/>
      <name val="Times New Roman"/>
      <family val="1"/>
    </font>
    <font>
      <sz val="14"/>
      <color rgb="FFFF0000"/>
      <name val="Times New Roman"/>
      <family val="1"/>
    </font>
    <font>
      <sz val="14"/>
      <color rgb="FF000000"/>
      <name val="Calibri"/>
      <family val="2"/>
      <scheme val="minor"/>
    </font>
    <font>
      <sz val="14"/>
      <color theme="1"/>
      <name val="Calibri"/>
      <family val="2"/>
      <scheme val="minor"/>
    </font>
    <font>
      <b/>
      <vertAlign val="superscript"/>
      <sz val="12"/>
      <color theme="1"/>
      <name val="Times New Roman"/>
      <family val="1"/>
    </font>
    <font>
      <b/>
      <sz val="14"/>
      <color theme="1"/>
      <name val="Times New Roman"/>
      <family val="1"/>
    </font>
    <font>
      <sz val="14"/>
      <color theme="1"/>
      <name val="Times New Roman"/>
      <family val="1"/>
    </font>
    <font>
      <sz val="10"/>
      <name val="Arial"/>
      <family val="2"/>
    </font>
    <font>
      <b/>
      <sz val="12"/>
      <name val="Times New Roman"/>
      <family val="1"/>
    </font>
    <font>
      <sz val="10"/>
      <name val="Calibri"/>
      <family val="2"/>
    </font>
    <font>
      <b/>
      <sz val="16"/>
      <name val="Times New Roman"/>
      <family val="1"/>
    </font>
    <font>
      <sz val="16"/>
      <name val="Times New Roman"/>
      <family val="1"/>
    </font>
    <font>
      <b/>
      <sz val="14"/>
      <name val="Times New Roman"/>
      <family val="1"/>
    </font>
    <font>
      <b/>
      <vertAlign val="superscript"/>
      <sz val="14"/>
      <name val="Times New Roman"/>
      <family val="1"/>
    </font>
    <font>
      <sz val="14"/>
      <name val="Times New Roman"/>
      <family val="1"/>
    </font>
    <font>
      <b/>
      <i/>
      <sz val="14"/>
      <name val="Times New Roman"/>
      <family val="1"/>
    </font>
    <font>
      <b/>
      <sz val="13"/>
      <name val="Times New Roman"/>
      <family val="1"/>
    </font>
    <font>
      <sz val="12"/>
      <name val="Times New Roman"/>
      <family val="1"/>
    </font>
    <font>
      <sz val="8"/>
      <name val="Calibri"/>
      <family val="2"/>
      <scheme val="minor"/>
    </font>
    <font>
      <sz val="14"/>
      <color theme="1"/>
      <name val="Calibri"/>
      <family val="2"/>
    </font>
    <font>
      <sz val="14"/>
      <color theme="1"/>
      <name val="Symbol"/>
      <family val="1"/>
      <charset val="2"/>
    </font>
    <font>
      <vertAlign val="superscript"/>
      <sz val="14"/>
      <color theme="1"/>
      <name val="Times New Roman"/>
      <family val="1"/>
    </font>
    <font>
      <b/>
      <i/>
      <sz val="14"/>
      <color theme="1"/>
      <name val="Times New Roman"/>
      <family val="1"/>
    </font>
    <font>
      <b/>
      <vertAlign val="superscript"/>
      <sz val="14"/>
      <color theme="1"/>
      <name val="Times New Roman"/>
      <family val="1"/>
    </font>
    <font>
      <b/>
      <sz val="14"/>
      <color theme="1"/>
      <name val="Symbol"/>
      <family val="1"/>
      <charset val="2"/>
    </font>
    <font>
      <b/>
      <sz val="14"/>
      <color theme="1"/>
      <name val="Arial"/>
      <family val="2"/>
    </font>
    <font>
      <b/>
      <sz val="14"/>
      <color theme="1"/>
      <name val="Times"/>
    </font>
    <font>
      <sz val="14"/>
      <color theme="0"/>
      <name val="Calibri"/>
      <family val="2"/>
      <scheme val="minor"/>
    </font>
    <font>
      <sz val="12"/>
      <color rgb="FF000000"/>
      <name val="Times New Roman"/>
      <family val="1"/>
    </font>
    <font>
      <sz val="12"/>
      <color theme="1"/>
      <name val="Calibri"/>
      <family val="2"/>
    </font>
    <font>
      <b/>
      <sz val="14"/>
      <color theme="1"/>
      <name val="Calibri"/>
      <family val="2"/>
    </font>
    <font>
      <i/>
      <sz val="16"/>
      <color theme="1"/>
      <name val="Times New Roman"/>
      <family val="1"/>
    </font>
    <font>
      <b/>
      <sz val="12"/>
      <color rgb="FFFF0000"/>
      <name val="Times New Roman"/>
      <family val="1"/>
    </font>
    <font>
      <sz val="12"/>
      <color rgb="FFFF0000"/>
      <name val="Times New Roman"/>
      <family val="1"/>
    </font>
    <font>
      <sz val="14"/>
      <color rgb="FFFF0000"/>
      <name val="Calibri"/>
      <scheme val="minor"/>
    </font>
  </fonts>
  <fills count="21">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8EAADB"/>
        <bgColor rgb="FF8EAADB"/>
      </patternFill>
    </fill>
    <fill>
      <patternFill patternType="solid">
        <fgColor rgb="FF92D050"/>
        <bgColor rgb="FF92D050"/>
      </patternFill>
    </fill>
    <fill>
      <patternFill patternType="solid">
        <fgColor rgb="FFFFFF00"/>
        <bgColor rgb="FFFFFF00"/>
      </patternFill>
    </fill>
    <fill>
      <patternFill patternType="solid">
        <fgColor rgb="FF00B0F0"/>
        <bgColor rgb="FF00B0F0"/>
      </patternFill>
    </fill>
    <fill>
      <patternFill patternType="solid">
        <fgColor rgb="FFFFC000"/>
        <bgColor rgb="FFFFC000"/>
      </patternFill>
    </fill>
    <fill>
      <patternFill patternType="solid">
        <fgColor theme="0"/>
        <bgColor rgb="FF00FF00"/>
      </patternFill>
    </fill>
    <fill>
      <patternFill patternType="solid">
        <fgColor rgb="FFFFC000"/>
        <bgColor indexed="64"/>
      </patternFill>
    </fill>
    <fill>
      <patternFill patternType="solid">
        <fgColor theme="0"/>
        <bgColor indexed="64"/>
      </patternFill>
    </fill>
    <fill>
      <patternFill patternType="solid">
        <fgColor rgb="FFFFFF00"/>
        <bgColor indexed="64"/>
      </patternFill>
    </fill>
    <fill>
      <patternFill patternType="solid">
        <fgColor theme="0"/>
        <bgColor rgb="FF92D050"/>
      </patternFill>
    </fill>
    <fill>
      <patternFill patternType="solid">
        <fgColor theme="0"/>
        <bgColor rgb="FFFFFF00"/>
      </patternFill>
    </fill>
    <fill>
      <patternFill patternType="solid">
        <fgColor rgb="FFFFFF00"/>
        <bgColor rgb="FF00FF00"/>
      </patternFill>
    </fill>
    <fill>
      <patternFill patternType="solid">
        <fgColor theme="0"/>
        <bgColor theme="7"/>
      </patternFill>
    </fill>
    <fill>
      <patternFill patternType="solid">
        <fgColor rgb="FFFFFF00"/>
      </patternFill>
    </fill>
    <fill>
      <patternFill patternType="solid">
        <fgColor theme="0"/>
      </patternFill>
    </fill>
    <fill>
      <patternFill patternType="solid">
        <fgColor rgb="FFFFFFFF"/>
      </patternFill>
    </fill>
    <fill>
      <patternFill patternType="solid">
        <fgColor theme="0"/>
        <bgColor rgb="FF00B0F0"/>
      </patternFill>
    </fill>
  </fills>
  <borders count="94">
    <border>
      <left/>
      <right/>
      <top/>
      <bottom/>
      <diagonal/>
    </border>
    <border>
      <left/>
      <right/>
      <top/>
      <bottom/>
      <diagonal/>
    </border>
    <border>
      <left/>
      <right/>
      <top/>
      <bottom/>
      <diagonal/>
    </border>
    <border>
      <left/>
      <right/>
      <top/>
      <bottom/>
      <diagonal/>
    </border>
    <border>
      <left/>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bottom/>
      <diagonal/>
    </border>
    <border>
      <left style="thin">
        <color rgb="FF000000"/>
      </left>
      <right/>
      <top/>
      <bottom/>
      <diagonal/>
    </border>
    <border>
      <left style="medium">
        <color rgb="FF000000"/>
      </left>
      <right style="thin">
        <color rgb="FF000000"/>
      </right>
      <top style="thin">
        <color rgb="FF000000"/>
      </top>
      <bottom/>
      <diagonal/>
    </border>
    <border>
      <left/>
      <right style="medium">
        <color rgb="FF000000"/>
      </right>
      <top style="thin">
        <color rgb="FF000000"/>
      </top>
      <bottom style="thin">
        <color rgb="FF000000"/>
      </bottom>
      <diagonal/>
    </border>
    <border>
      <left/>
      <right style="thin">
        <color rgb="FF000000"/>
      </right>
      <top/>
      <bottom/>
      <diagonal/>
    </border>
    <border>
      <left style="thin">
        <color rgb="FF000000"/>
      </left>
      <right style="medium">
        <color rgb="FF000000"/>
      </right>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dotted">
        <color rgb="FF000000"/>
      </top>
      <bottom style="dotted">
        <color rgb="FF000000"/>
      </bottom>
      <diagonal/>
    </border>
    <border>
      <left style="thin">
        <color rgb="FF000000"/>
      </left>
      <right style="thin">
        <color rgb="FF000000"/>
      </right>
      <top style="dotted">
        <color rgb="FF000000"/>
      </top>
      <bottom/>
      <diagonal/>
    </border>
    <border>
      <left style="thin">
        <color rgb="FF000000"/>
      </left>
      <right style="thin">
        <color rgb="FF000000"/>
      </right>
      <top/>
      <bottom style="dotted">
        <color rgb="FF000000"/>
      </bottom>
      <diagonal/>
    </border>
    <border>
      <left style="medium">
        <color rgb="FF000000"/>
      </left>
      <right style="thin">
        <color rgb="FF000000"/>
      </right>
      <top style="dotted">
        <color rgb="FF000000"/>
      </top>
      <bottom style="dotted">
        <color rgb="FF000000"/>
      </bottom>
      <diagonal/>
    </border>
    <border>
      <left/>
      <right/>
      <top style="thin">
        <color rgb="FF000000"/>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style="medium">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bottom/>
      <diagonal/>
    </border>
    <border>
      <left style="thin">
        <color indexed="64"/>
      </left>
      <right style="thin">
        <color indexed="64"/>
      </right>
      <top style="thin">
        <color indexed="64"/>
      </top>
      <bottom style="thin">
        <color indexed="64"/>
      </bottom>
      <diagonal/>
    </border>
    <border>
      <left/>
      <right style="thin">
        <color rgb="FF000000"/>
      </right>
      <top style="dotted">
        <color rgb="FF000000"/>
      </top>
      <bottom style="dotted">
        <color rgb="FF000000"/>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thin">
        <color rgb="FF000000"/>
      </bottom>
      <diagonal/>
    </border>
    <border>
      <left style="medium">
        <color rgb="FF000000"/>
      </left>
      <right/>
      <top style="thin">
        <color rgb="FF000000"/>
      </top>
      <bottom/>
      <diagonal/>
    </border>
    <border>
      <left/>
      <right/>
      <top/>
      <bottom style="thin">
        <color rgb="FF000000"/>
      </bottom>
      <diagonal/>
    </border>
    <border>
      <left/>
      <right style="thin">
        <color rgb="FF000000"/>
      </right>
      <top style="dotted">
        <color rgb="FF000000"/>
      </top>
      <bottom/>
      <diagonal/>
    </border>
    <border>
      <left style="thin">
        <color indexed="64"/>
      </left>
      <right style="thin">
        <color indexed="64"/>
      </right>
      <top/>
      <bottom style="thin">
        <color indexed="64"/>
      </bottom>
      <diagonal/>
    </border>
    <border>
      <left/>
      <right/>
      <top style="thin">
        <color rgb="FF000000"/>
      </top>
      <bottom/>
      <diagonal/>
    </border>
    <border>
      <left/>
      <right/>
      <top/>
      <bottom style="thin">
        <color indexed="64"/>
      </bottom>
      <diagonal/>
    </border>
    <border>
      <left/>
      <right/>
      <top style="thin">
        <color indexed="64"/>
      </top>
      <bottom style="thin">
        <color indexed="64"/>
      </bottom>
      <diagonal/>
    </border>
    <border>
      <left/>
      <right/>
      <top style="thin">
        <color indexed="64"/>
      </top>
      <bottom style="thin">
        <color rgb="FF000000"/>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bottom/>
      <diagonal/>
    </border>
    <border>
      <left style="medium">
        <color rgb="FF000000"/>
      </left>
      <right/>
      <top style="dotted">
        <color rgb="FF000000"/>
      </top>
      <bottom style="dotted">
        <color rgb="FF000000"/>
      </bottom>
      <diagonal/>
    </border>
    <border>
      <left style="thin">
        <color rgb="FF000000"/>
      </left>
      <right style="thin">
        <color rgb="FF000000"/>
      </right>
      <top/>
      <bottom style="thin">
        <color indexed="64"/>
      </bottom>
      <diagonal/>
    </border>
    <border>
      <left style="thin">
        <color indexed="64"/>
      </left>
      <right style="thin">
        <color indexed="64"/>
      </right>
      <top style="thin">
        <color rgb="FF000000"/>
      </top>
      <bottom style="thin">
        <color indexed="64"/>
      </bottom>
      <diagonal/>
    </border>
    <border>
      <left style="thin">
        <color indexed="64"/>
      </left>
      <right style="thin">
        <color rgb="FF000000"/>
      </right>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thin">
        <color rgb="FF000000"/>
      </bottom>
      <diagonal/>
    </border>
    <border>
      <left/>
      <right style="medium">
        <color indexed="64"/>
      </right>
      <top style="thin">
        <color indexed="64"/>
      </top>
      <bottom/>
      <diagonal/>
    </border>
    <border>
      <left/>
      <right style="medium">
        <color indexed="64"/>
      </right>
      <top/>
      <bottom style="thin">
        <color indexed="64"/>
      </bottom>
      <diagonal/>
    </border>
    <border>
      <left style="medium">
        <color rgb="FF000000"/>
      </left>
      <right style="thin">
        <color indexed="64"/>
      </right>
      <top style="medium">
        <color rgb="FF000000"/>
      </top>
      <bottom/>
      <diagonal/>
    </border>
    <border>
      <left style="medium">
        <color rgb="FF000000"/>
      </left>
      <right style="thin">
        <color indexed="64"/>
      </right>
      <top/>
      <bottom/>
      <diagonal/>
    </border>
    <border>
      <left style="thin">
        <color indexed="64"/>
      </left>
      <right style="thin">
        <color indexed="64"/>
      </right>
      <top/>
      <bottom/>
      <diagonal/>
    </border>
    <border>
      <left style="medium">
        <color rgb="FF000000"/>
      </left>
      <right style="thin">
        <color indexed="64"/>
      </right>
      <top/>
      <bottom style="thin">
        <color rgb="FF000000"/>
      </bottom>
      <diagonal/>
    </border>
    <border>
      <left style="thin">
        <color rgb="FF000000"/>
      </left>
      <right style="thin">
        <color rgb="FF000000"/>
      </right>
      <top style="dotted">
        <color rgb="FF000000"/>
      </top>
      <bottom style="thin">
        <color indexed="64"/>
      </bottom>
      <diagonal/>
    </border>
    <border>
      <left style="thin">
        <color indexed="64"/>
      </left>
      <right style="thin">
        <color rgb="FF000000"/>
      </right>
      <top style="medium">
        <color rgb="FF000000"/>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
      <left style="medium">
        <color rgb="FF000000"/>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style="thin">
        <color rgb="FF000000"/>
      </bottom>
      <diagonal/>
    </border>
    <border>
      <left style="thin">
        <color rgb="FF000000"/>
      </left>
      <right style="thin">
        <color indexed="64"/>
      </right>
      <top style="medium">
        <color rgb="FF000000"/>
      </top>
      <bottom/>
      <diagonal/>
    </border>
    <border>
      <left style="thin">
        <color rgb="FF000000"/>
      </left>
      <right style="thin">
        <color indexed="64"/>
      </right>
      <top/>
      <bottom/>
      <diagonal/>
    </border>
  </borders>
  <cellStyleXfs count="5">
    <xf numFmtId="0" fontId="0" fillId="0" borderId="0"/>
    <xf numFmtId="0" fontId="13" fillId="0" borderId="40"/>
    <xf numFmtId="0" fontId="13" fillId="0" borderId="40"/>
    <xf numFmtId="43" fontId="13" fillId="0" borderId="40" applyFont="0" applyFill="0" applyBorder="0" applyAlignment="0" applyProtection="0"/>
    <xf numFmtId="0" fontId="25" fillId="0" borderId="40"/>
  </cellStyleXfs>
  <cellXfs count="941">
    <xf numFmtId="0" fontId="0" fillId="0" borderId="0" xfId="0"/>
    <xf numFmtId="164" fontId="1" fillId="2" borderId="1" xfId="0" applyNumberFormat="1" applyFont="1" applyFill="1" applyBorder="1" applyAlignment="1">
      <alignment vertical="center" wrapText="1"/>
    </xf>
    <xf numFmtId="164" fontId="3" fillId="2" borderId="1" xfId="0" applyNumberFormat="1" applyFont="1" applyFill="1" applyBorder="1" applyAlignment="1">
      <alignment vertical="center" wrapText="1"/>
    </xf>
    <xf numFmtId="2" fontId="4" fillId="2" borderId="22" xfId="0" applyNumberFormat="1" applyFont="1" applyFill="1" applyBorder="1" applyAlignment="1">
      <alignment horizontal="center" vertical="center" wrapText="1"/>
    </xf>
    <xf numFmtId="2" fontId="4" fillId="2" borderId="23" xfId="0" applyNumberFormat="1" applyFont="1" applyFill="1" applyBorder="1" applyAlignment="1">
      <alignment horizontal="center" vertical="center" wrapText="1"/>
    </xf>
    <xf numFmtId="49" fontId="4" fillId="4" borderId="25" xfId="0" applyNumberFormat="1"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22" xfId="0" applyFont="1" applyFill="1" applyBorder="1" applyAlignment="1">
      <alignment horizontal="center" vertical="center" wrapText="1"/>
    </xf>
    <xf numFmtId="166" fontId="6" fillId="2" borderId="25" xfId="0" applyNumberFormat="1" applyFont="1" applyFill="1" applyBorder="1" applyAlignment="1">
      <alignment horizontal="center" vertical="center" wrapText="1"/>
    </xf>
    <xf numFmtId="166" fontId="6" fillId="2" borderId="22" xfId="0" applyNumberFormat="1" applyFont="1" applyFill="1" applyBorder="1" applyAlignment="1">
      <alignment horizontal="center" vertical="center" wrapText="1"/>
    </xf>
    <xf numFmtId="166" fontId="6" fillId="2" borderId="23" xfId="0" applyNumberFormat="1" applyFont="1" applyFill="1" applyBorder="1" applyAlignment="1">
      <alignment horizontal="center" vertical="center" wrapText="1"/>
    </xf>
    <xf numFmtId="2" fontId="6" fillId="2" borderId="22" xfId="0" applyNumberFormat="1" applyFont="1" applyFill="1" applyBorder="1" applyAlignment="1">
      <alignment horizontal="center" vertical="center" wrapText="1"/>
    </xf>
    <xf numFmtId="3" fontId="6" fillId="2" borderId="22" xfId="0" applyNumberFormat="1" applyFont="1" applyFill="1" applyBorder="1" applyAlignment="1">
      <alignment horizontal="center" vertical="center" wrapText="1"/>
    </xf>
    <xf numFmtId="2" fontId="6" fillId="2" borderId="23" xfId="0" applyNumberFormat="1" applyFont="1" applyFill="1" applyBorder="1" applyAlignment="1">
      <alignment horizontal="center" vertical="center" wrapText="1"/>
    </xf>
    <xf numFmtId="167" fontId="6" fillId="2" borderId="22" xfId="0" applyNumberFormat="1" applyFont="1" applyFill="1" applyBorder="1" applyAlignment="1">
      <alignment horizontal="center" vertical="center" wrapText="1"/>
    </xf>
    <xf numFmtId="4" fontId="6" fillId="2" borderId="22" xfId="0" applyNumberFormat="1" applyFont="1" applyFill="1" applyBorder="1" applyAlignment="1">
      <alignment horizontal="center" vertical="center" wrapText="1"/>
    </xf>
    <xf numFmtId="165" fontId="6" fillId="2" borderId="22" xfId="0" applyNumberFormat="1" applyFont="1" applyFill="1" applyBorder="1" applyAlignment="1">
      <alignment horizontal="center" vertical="center" wrapText="1"/>
    </xf>
    <xf numFmtId="0" fontId="7" fillId="0" borderId="0" xfId="0" applyFont="1"/>
    <xf numFmtId="0" fontId="8" fillId="2" borderId="0" xfId="0" applyFont="1" applyFill="1"/>
    <xf numFmtId="0" fontId="9" fillId="0" borderId="0" xfId="0" applyFont="1"/>
    <xf numFmtId="0" fontId="9" fillId="2" borderId="0" xfId="0" applyFont="1" applyFill="1"/>
    <xf numFmtId="0" fontId="12" fillId="2" borderId="22" xfId="0" applyFont="1" applyFill="1" applyBorder="1" applyAlignment="1">
      <alignment horizontal="center" wrapText="1"/>
    </xf>
    <xf numFmtId="0" fontId="11" fillId="2" borderId="26" xfId="0" applyFont="1" applyFill="1" applyBorder="1" applyAlignment="1">
      <alignment horizontal="left" wrapText="1"/>
    </xf>
    <xf numFmtId="0" fontId="11" fillId="2" borderId="22" xfId="0" applyFont="1" applyFill="1" applyBorder="1" applyAlignment="1">
      <alignment horizontal="left" wrapText="1"/>
    </xf>
    <xf numFmtId="0" fontId="11" fillId="2" borderId="35" xfId="0" applyFont="1" applyFill="1" applyBorder="1" applyAlignment="1">
      <alignment horizontal="left" vertical="center" wrapText="1"/>
    </xf>
    <xf numFmtId="0" fontId="11" fillId="3" borderId="22" xfId="0" applyFont="1" applyFill="1" applyBorder="1" applyAlignment="1">
      <alignment horizontal="center" vertical="center"/>
    </xf>
    <xf numFmtId="0" fontId="11" fillId="2" borderId="26" xfId="0" applyFont="1" applyFill="1" applyBorder="1" applyAlignment="1">
      <alignment horizontal="center" vertical="center"/>
    </xf>
    <xf numFmtId="170" fontId="11" fillId="3" borderId="20" xfId="0" applyNumberFormat="1" applyFont="1" applyFill="1" applyBorder="1" applyAlignment="1">
      <alignment horizontal="center" vertical="center"/>
    </xf>
    <xf numFmtId="0" fontId="11" fillId="2" borderId="22" xfId="0" applyFont="1" applyFill="1" applyBorder="1" applyAlignment="1">
      <alignment horizontal="left" vertical="center"/>
    </xf>
    <xf numFmtId="3" fontId="11" fillId="2" borderId="22" xfId="0" applyNumberFormat="1" applyFont="1" applyFill="1" applyBorder="1" applyAlignment="1">
      <alignment horizontal="center" vertical="center"/>
    </xf>
    <xf numFmtId="0" fontId="12" fillId="2" borderId="35" xfId="0" applyFont="1" applyFill="1" applyBorder="1" applyAlignment="1">
      <alignment horizontal="center" vertical="center"/>
    </xf>
    <xf numFmtId="0" fontId="12" fillId="3" borderId="20" xfId="0" applyFont="1" applyFill="1" applyBorder="1" applyAlignment="1">
      <alignment horizontal="center" vertical="center"/>
    </xf>
    <xf numFmtId="0" fontId="12" fillId="2" borderId="22" xfId="0" applyFont="1" applyFill="1" applyBorder="1" applyAlignment="1">
      <alignment horizontal="left" vertical="center"/>
    </xf>
    <xf numFmtId="0" fontId="11" fillId="2" borderId="22" xfId="0" applyFont="1" applyFill="1" applyBorder="1" applyAlignment="1">
      <alignment horizontal="center" vertical="center"/>
    </xf>
    <xf numFmtId="0" fontId="12" fillId="0" borderId="20" xfId="0" applyFont="1" applyBorder="1" applyAlignment="1">
      <alignment horizontal="center" vertical="center"/>
    </xf>
    <xf numFmtId="0" fontId="11" fillId="3" borderId="22" xfId="0" applyFont="1" applyFill="1" applyBorder="1" applyAlignment="1">
      <alignment horizontal="center" vertical="center" wrapText="1"/>
    </xf>
    <xf numFmtId="0" fontId="11" fillId="2" borderId="26" xfId="0" applyFont="1" applyFill="1" applyBorder="1" applyAlignment="1">
      <alignment horizontal="center" vertical="center" wrapText="1"/>
    </xf>
    <xf numFmtId="0" fontId="11" fillId="3" borderId="20" xfId="0" applyFont="1" applyFill="1" applyBorder="1" applyAlignment="1">
      <alignment horizontal="center" wrapText="1"/>
    </xf>
    <xf numFmtId="3" fontId="11" fillId="2" borderId="22" xfId="0" applyNumberFormat="1" applyFont="1" applyFill="1" applyBorder="1" applyAlignment="1">
      <alignment horizontal="center" wrapText="1"/>
    </xf>
    <xf numFmtId="0" fontId="12" fillId="2" borderId="35" xfId="0" applyFont="1" applyFill="1" applyBorder="1" applyAlignment="1">
      <alignment horizontal="center" wrapText="1"/>
    </xf>
    <xf numFmtId="0" fontId="12" fillId="3" borderId="20" xfId="0" applyFont="1" applyFill="1" applyBorder="1" applyAlignment="1">
      <alignment horizontal="center" wrapText="1"/>
    </xf>
    <xf numFmtId="0" fontId="12" fillId="2" borderId="22" xfId="0" applyFont="1" applyFill="1" applyBorder="1" applyAlignment="1">
      <alignment horizontal="left" wrapText="1"/>
    </xf>
    <xf numFmtId="0" fontId="11" fillId="2" borderId="22" xfId="0" applyFont="1" applyFill="1" applyBorder="1" applyAlignment="1">
      <alignment horizontal="center" wrapText="1"/>
    </xf>
    <xf numFmtId="170" fontId="11" fillId="3" borderId="20" xfId="0" applyNumberFormat="1" applyFont="1" applyFill="1" applyBorder="1" applyAlignment="1">
      <alignment horizontal="center" vertical="center" wrapText="1"/>
    </xf>
    <xf numFmtId="0" fontId="11" fillId="2" borderId="22" xfId="0" applyFont="1" applyFill="1" applyBorder="1" applyAlignment="1">
      <alignment horizontal="left" vertical="center" wrapText="1"/>
    </xf>
    <xf numFmtId="3" fontId="11" fillId="2" borderId="22" xfId="0" applyNumberFormat="1" applyFont="1" applyFill="1" applyBorder="1" applyAlignment="1">
      <alignment horizontal="center" vertical="center" wrapText="1"/>
    </xf>
    <xf numFmtId="0" fontId="12" fillId="2" borderId="35" xfId="0" applyFont="1" applyFill="1" applyBorder="1" applyAlignment="1">
      <alignment horizontal="center" vertical="center" wrapText="1"/>
    </xf>
    <xf numFmtId="0" fontId="12" fillId="3" borderId="20" xfId="0" applyFont="1" applyFill="1" applyBorder="1" applyAlignment="1">
      <alignment horizontal="center" vertical="center" wrapText="1"/>
    </xf>
    <xf numFmtId="0" fontId="12" fillId="2" borderId="22" xfId="0" applyFont="1" applyFill="1" applyBorder="1" applyAlignment="1">
      <alignment horizontal="left" vertical="center" wrapText="1"/>
    </xf>
    <xf numFmtId="0" fontId="11" fillId="2" borderId="22" xfId="0" applyFont="1" applyFill="1" applyBorder="1" applyAlignment="1">
      <alignment horizontal="center" vertical="center" wrapText="1"/>
    </xf>
    <xf numFmtId="0" fontId="12" fillId="0" borderId="20" xfId="0" applyFont="1" applyBorder="1" applyAlignment="1">
      <alignment horizontal="center" vertical="center" wrapText="1"/>
    </xf>
    <xf numFmtId="0" fontId="11" fillId="2" borderId="26" xfId="0" applyFont="1" applyFill="1" applyBorder="1" applyAlignment="1">
      <alignment horizontal="left" vertical="center" wrapText="1"/>
    </xf>
    <xf numFmtId="0" fontId="12" fillId="2" borderId="22" xfId="0" applyFont="1" applyFill="1" applyBorder="1" applyAlignment="1">
      <alignment horizontal="center" vertical="center" wrapText="1"/>
    </xf>
    <xf numFmtId="0" fontId="11" fillId="3" borderId="20" xfId="0" applyFont="1" applyFill="1" applyBorder="1" applyAlignment="1">
      <alignment horizontal="center" vertical="center"/>
    </xf>
    <xf numFmtId="4" fontId="11" fillId="2" borderId="22" xfId="0" applyNumberFormat="1" applyFont="1" applyFill="1" applyBorder="1" applyAlignment="1">
      <alignment horizontal="center" vertical="center"/>
    </xf>
    <xf numFmtId="166" fontId="11" fillId="2" borderId="22" xfId="0" applyNumberFormat="1" applyFont="1" applyFill="1" applyBorder="1" applyAlignment="1">
      <alignment horizontal="center" vertical="center"/>
    </xf>
    <xf numFmtId="2" fontId="4" fillId="2" borderId="41" xfId="0" applyNumberFormat="1" applyFont="1" applyFill="1" applyBorder="1" applyAlignment="1">
      <alignment horizontal="center" vertical="center" wrapText="1"/>
    </xf>
    <xf numFmtId="0" fontId="0" fillId="0" borderId="41" xfId="0" applyBorder="1"/>
    <xf numFmtId="0" fontId="11" fillId="0" borderId="0" xfId="0" applyFont="1"/>
    <xf numFmtId="0" fontId="11" fillId="0" borderId="41" xfId="0" applyFont="1" applyBorder="1"/>
    <xf numFmtId="0" fontId="0" fillId="0" borderId="49" xfId="0" applyBorder="1"/>
    <xf numFmtId="0" fontId="4" fillId="0" borderId="41" xfId="0" applyFont="1" applyBorder="1" applyAlignment="1">
      <alignment horizontal="center" vertical="center"/>
    </xf>
    <xf numFmtId="0" fontId="12" fillId="0" borderId="41" xfId="0" applyFont="1" applyBorder="1" applyAlignment="1">
      <alignment horizontal="center" vertical="center"/>
    </xf>
    <xf numFmtId="0" fontId="12" fillId="2" borderId="41" xfId="0" applyFont="1" applyFill="1" applyBorder="1" applyAlignment="1">
      <alignment horizontal="left" vertical="center" wrapText="1"/>
    </xf>
    <xf numFmtId="0" fontId="12" fillId="2" borderId="41" xfId="0" applyFont="1" applyFill="1" applyBorder="1" applyAlignment="1">
      <alignment horizontal="center" vertical="center" wrapText="1"/>
    </xf>
    <xf numFmtId="0" fontId="12" fillId="2" borderId="20" xfId="0" applyFont="1" applyFill="1" applyBorder="1" applyAlignment="1">
      <alignment horizontal="left" vertical="center" wrapText="1"/>
    </xf>
    <xf numFmtId="0" fontId="12" fillId="2" borderId="21" xfId="0" applyFont="1" applyFill="1" applyBorder="1" applyAlignment="1">
      <alignment horizontal="center" vertical="center" wrapText="1"/>
    </xf>
    <xf numFmtId="0" fontId="12" fillId="2" borderId="28" xfId="0" applyFont="1" applyFill="1" applyBorder="1" applyAlignment="1">
      <alignment horizontal="center" vertical="center" wrapText="1"/>
    </xf>
    <xf numFmtId="0" fontId="15" fillId="0" borderId="0" xfId="0" applyFont="1"/>
    <xf numFmtId="49" fontId="16" fillId="10" borderId="54" xfId="1" applyNumberFormat="1" applyFont="1" applyFill="1" applyBorder="1" applyAlignment="1">
      <alignment horizontal="center" vertical="center" wrapText="1"/>
    </xf>
    <xf numFmtId="2" fontId="17" fillId="11" borderId="41" xfId="1" applyNumberFormat="1" applyFont="1" applyFill="1" applyBorder="1" applyAlignment="1">
      <alignment vertical="center" wrapText="1"/>
    </xf>
    <xf numFmtId="0" fontId="17" fillId="11" borderId="41" xfId="1" applyFont="1" applyFill="1" applyBorder="1" applyAlignment="1">
      <alignment horizontal="center" vertical="center" wrapText="1"/>
    </xf>
    <xf numFmtId="49" fontId="17" fillId="11" borderId="41" xfId="1" applyNumberFormat="1" applyFont="1" applyFill="1" applyBorder="1" applyAlignment="1">
      <alignment horizontal="center" vertical="center" wrapText="1"/>
    </xf>
    <xf numFmtId="4" fontId="17" fillId="11" borderId="41" xfId="1" applyNumberFormat="1" applyFont="1" applyFill="1" applyBorder="1" applyAlignment="1">
      <alignment horizontal="center" vertical="center" wrapText="1"/>
    </xf>
    <xf numFmtId="4" fontId="17" fillId="11" borderId="54" xfId="1" applyNumberFormat="1" applyFont="1" applyFill="1" applyBorder="1" applyAlignment="1">
      <alignment horizontal="center" vertical="center" wrapText="1"/>
    </xf>
    <xf numFmtId="165" fontId="17" fillId="11" borderId="56" xfId="1" applyNumberFormat="1" applyFont="1" applyFill="1" applyBorder="1" applyAlignment="1">
      <alignment horizontal="center" vertical="center" wrapText="1"/>
    </xf>
    <xf numFmtId="9" fontId="17" fillId="11" borderId="57" xfId="1" applyNumberFormat="1" applyFont="1" applyFill="1" applyBorder="1" applyAlignment="1">
      <alignment horizontal="center" vertical="center" wrapText="1"/>
    </xf>
    <xf numFmtId="2" fontId="17" fillId="11" borderId="41" xfId="1" applyNumberFormat="1" applyFont="1" applyFill="1" applyBorder="1" applyAlignment="1">
      <alignment horizontal="center" vertical="center" wrapText="1"/>
    </xf>
    <xf numFmtId="3" fontId="17" fillId="11" borderId="41" xfId="1" applyNumberFormat="1" applyFont="1" applyFill="1" applyBorder="1" applyAlignment="1">
      <alignment horizontal="center" vertical="center" wrapText="1"/>
    </xf>
    <xf numFmtId="3" fontId="16" fillId="11" borderId="41" xfId="1" applyNumberFormat="1" applyFont="1" applyFill="1" applyBorder="1" applyAlignment="1">
      <alignment horizontal="center" vertical="center" wrapText="1"/>
    </xf>
    <xf numFmtId="0" fontId="12" fillId="0" borderId="0" xfId="0" applyFont="1"/>
    <xf numFmtId="166" fontId="20" fillId="11" borderId="56" xfId="1" applyNumberFormat="1" applyFont="1" applyFill="1" applyBorder="1" applyAlignment="1">
      <alignment horizontal="center" vertical="center" wrapText="1"/>
    </xf>
    <xf numFmtId="166" fontId="20" fillId="11" borderId="54" xfId="1" applyNumberFormat="1" applyFont="1" applyFill="1" applyBorder="1" applyAlignment="1">
      <alignment horizontal="center" vertical="center" wrapText="1"/>
    </xf>
    <xf numFmtId="165" fontId="20" fillId="11" borderId="56" xfId="1" applyNumberFormat="1" applyFont="1" applyFill="1" applyBorder="1" applyAlignment="1">
      <alignment horizontal="center" vertical="center" wrapText="1"/>
    </xf>
    <xf numFmtId="166" fontId="17" fillId="11" borderId="41" xfId="1" applyNumberFormat="1" applyFont="1" applyFill="1" applyBorder="1" applyAlignment="1">
      <alignment horizontal="center" vertical="center" wrapText="1"/>
    </xf>
    <xf numFmtId="166" fontId="17" fillId="11" borderId="54" xfId="1" applyNumberFormat="1" applyFont="1" applyFill="1" applyBorder="1" applyAlignment="1">
      <alignment horizontal="center" vertical="center" wrapText="1"/>
    </xf>
    <xf numFmtId="164" fontId="18" fillId="11" borderId="40" xfId="2" applyNumberFormat="1" applyFont="1" applyFill="1" applyAlignment="1">
      <alignment horizontal="center" vertical="center" wrapText="1"/>
    </xf>
    <xf numFmtId="164" fontId="18" fillId="11" borderId="40" xfId="2" applyNumberFormat="1" applyFont="1" applyFill="1" applyAlignment="1">
      <alignment horizontal="left" vertical="center"/>
    </xf>
    <xf numFmtId="164" fontId="21" fillId="11" borderId="40" xfId="2" applyNumberFormat="1" applyFont="1" applyFill="1" applyAlignment="1">
      <alignment horizontal="center" vertical="center"/>
    </xf>
    <xf numFmtId="1" fontId="21" fillId="11" borderId="40" xfId="2" applyNumberFormat="1" applyFont="1" applyFill="1" applyAlignment="1">
      <alignment horizontal="center" vertical="center"/>
    </xf>
    <xf numFmtId="164" fontId="21" fillId="11" borderId="40" xfId="2" applyNumberFormat="1" applyFont="1" applyFill="1" applyAlignment="1">
      <alignment vertical="center"/>
    </xf>
    <xf numFmtId="3" fontId="18" fillId="11" borderId="40" xfId="2" applyNumberFormat="1" applyFont="1" applyFill="1" applyAlignment="1">
      <alignment horizontal="center" vertical="center"/>
    </xf>
    <xf numFmtId="0" fontId="17" fillId="11" borderId="59" xfId="1" applyFont="1" applyFill="1" applyBorder="1" applyAlignment="1">
      <alignment horizontal="center" vertical="center" wrapText="1"/>
    </xf>
    <xf numFmtId="49" fontId="17" fillId="11" borderId="59" xfId="1" applyNumberFormat="1" applyFont="1" applyFill="1" applyBorder="1" applyAlignment="1">
      <alignment horizontal="center" vertical="center" wrapText="1"/>
    </xf>
    <xf numFmtId="166" fontId="17" fillId="11" borderId="59" xfId="1" applyNumberFormat="1" applyFont="1" applyFill="1" applyBorder="1" applyAlignment="1">
      <alignment horizontal="center" vertical="center" wrapText="1"/>
    </xf>
    <xf numFmtId="4" fontId="17" fillId="11" borderId="59" xfId="1" applyNumberFormat="1" applyFont="1" applyFill="1" applyBorder="1" applyAlignment="1">
      <alignment horizontal="center" vertical="center" wrapText="1"/>
    </xf>
    <xf numFmtId="4" fontId="17" fillId="11" borderId="62" xfId="1" applyNumberFormat="1" applyFont="1" applyFill="1" applyBorder="1" applyAlignment="1">
      <alignment horizontal="center" vertical="center" wrapText="1"/>
    </xf>
    <xf numFmtId="164" fontId="18" fillId="11" borderId="52" xfId="2" applyNumberFormat="1" applyFont="1" applyFill="1" applyBorder="1" applyAlignment="1">
      <alignment horizontal="center" vertical="center" wrapText="1"/>
    </xf>
    <xf numFmtId="164" fontId="18" fillId="11" borderId="52" xfId="2" applyNumberFormat="1" applyFont="1" applyFill="1" applyBorder="1" applyAlignment="1">
      <alignment horizontal="left" vertical="center"/>
    </xf>
    <xf numFmtId="164" fontId="21" fillId="11" borderId="52" xfId="2" applyNumberFormat="1" applyFont="1" applyFill="1" applyBorder="1" applyAlignment="1">
      <alignment horizontal="center" vertical="center"/>
    </xf>
    <xf numFmtId="1" fontId="21" fillId="11" borderId="52" xfId="2" applyNumberFormat="1" applyFont="1" applyFill="1" applyBorder="1" applyAlignment="1">
      <alignment horizontal="center" vertical="center"/>
    </xf>
    <xf numFmtId="164" fontId="21" fillId="11" borderId="52" xfId="2" applyNumberFormat="1" applyFont="1" applyFill="1" applyBorder="1" applyAlignment="1">
      <alignment vertical="center"/>
    </xf>
    <xf numFmtId="3" fontId="18" fillId="11" borderId="52" xfId="2" applyNumberFormat="1" applyFont="1" applyFill="1" applyBorder="1" applyAlignment="1">
      <alignment horizontal="center" vertical="center"/>
    </xf>
    <xf numFmtId="3" fontId="18" fillId="11" borderId="52" xfId="1" applyNumberFormat="1" applyFont="1" applyFill="1" applyBorder="1" applyAlignment="1">
      <alignment horizontal="center" vertical="center" wrapText="1"/>
    </xf>
    <xf numFmtId="0" fontId="14" fillId="0" borderId="41" xfId="1" applyFont="1" applyBorder="1" applyAlignment="1">
      <alignment horizontal="center" vertical="center" wrapText="1"/>
    </xf>
    <xf numFmtId="0" fontId="14" fillId="0" borderId="41" xfId="1" applyFont="1" applyBorder="1" applyAlignment="1">
      <alignment horizontal="left" vertical="center" wrapText="1"/>
    </xf>
    <xf numFmtId="167" fontId="14" fillId="0" borderId="41" xfId="1" applyNumberFormat="1" applyFont="1" applyBorder="1" applyAlignment="1">
      <alignment horizontal="center" vertical="center" wrapText="1"/>
    </xf>
    <xf numFmtId="1" fontId="14" fillId="0" borderId="41" xfId="1" applyNumberFormat="1" applyFont="1" applyBorder="1" applyAlignment="1">
      <alignment horizontal="center" vertical="center" wrapText="1"/>
    </xf>
    <xf numFmtId="2" fontId="14" fillId="0" borderId="41" xfId="1" applyNumberFormat="1" applyFont="1" applyBorder="1" applyAlignment="1">
      <alignment horizontal="center" vertical="center" wrapText="1"/>
    </xf>
    <xf numFmtId="9" fontId="14" fillId="0" borderId="41" xfId="1" applyNumberFormat="1" applyFont="1" applyBorder="1" applyAlignment="1">
      <alignment horizontal="center" vertical="center" wrapText="1"/>
    </xf>
    <xf numFmtId="3" fontId="14" fillId="0" borderId="41" xfId="1" applyNumberFormat="1" applyFont="1" applyBorder="1" applyAlignment="1">
      <alignment horizontal="center" vertical="center" wrapText="1"/>
    </xf>
    <xf numFmtId="0" fontId="22" fillId="0" borderId="41" xfId="1" applyFont="1" applyBorder="1" applyAlignment="1">
      <alignment horizontal="centerContinuous" vertical="center" wrapText="1"/>
    </xf>
    <xf numFmtId="0" fontId="23" fillId="0" borderId="41" xfId="1" applyFont="1" applyBorder="1" applyAlignment="1">
      <alignment horizontal="centerContinuous" vertical="center" wrapText="1"/>
    </xf>
    <xf numFmtId="0" fontId="23" fillId="0" borderId="41" xfId="1" applyFont="1" applyBorder="1" applyAlignment="1">
      <alignment horizontal="center" vertical="center" wrapText="1"/>
    </xf>
    <xf numFmtId="167" fontId="23" fillId="0" borderId="41" xfId="1" applyNumberFormat="1" applyFont="1" applyBorder="1" applyAlignment="1">
      <alignment horizontal="center" vertical="center" wrapText="1"/>
    </xf>
    <xf numFmtId="1" fontId="23" fillId="0" borderId="41" xfId="0" applyNumberFormat="1" applyFont="1" applyBorder="1" applyAlignment="1">
      <alignment horizontal="center" vertical="center"/>
    </xf>
    <xf numFmtId="1" fontId="23" fillId="0" borderId="41" xfId="1" applyNumberFormat="1" applyFont="1" applyBorder="1" applyAlignment="1">
      <alignment horizontal="center" vertical="center" wrapText="1"/>
    </xf>
    <xf numFmtId="9" fontId="23" fillId="0" borderId="41" xfId="1" applyNumberFormat="1" applyFont="1" applyBorder="1" applyAlignment="1">
      <alignment horizontal="center" vertical="center" wrapText="1"/>
    </xf>
    <xf numFmtId="3" fontId="23" fillId="0" borderId="41" xfId="1" applyNumberFormat="1" applyFont="1" applyBorder="1" applyAlignment="1">
      <alignment horizontal="center" vertical="center" wrapText="1"/>
    </xf>
    <xf numFmtId="0" fontId="23" fillId="0" borderId="41" xfId="1" applyFont="1" applyBorder="1" applyAlignment="1">
      <alignment horizontal="left" vertical="center" wrapText="1"/>
    </xf>
    <xf numFmtId="172" fontId="14" fillId="0" borderId="41" xfId="1" applyNumberFormat="1" applyFont="1" applyBorder="1" applyAlignment="1">
      <alignment horizontal="center" vertical="center" wrapText="1"/>
    </xf>
    <xf numFmtId="2" fontId="17" fillId="11" borderId="56" xfId="1" applyNumberFormat="1" applyFont="1" applyFill="1" applyBorder="1" applyAlignment="1">
      <alignment vertical="center" wrapText="1"/>
    </xf>
    <xf numFmtId="0" fontId="9" fillId="11" borderId="41" xfId="0" applyFont="1" applyFill="1" applyBorder="1" applyAlignment="1">
      <alignment vertical="center" wrapText="1"/>
    </xf>
    <xf numFmtId="4" fontId="4" fillId="2" borderId="23" xfId="0" applyNumberFormat="1" applyFont="1" applyFill="1" applyBorder="1" applyAlignment="1">
      <alignment horizontal="center" vertical="center" wrapText="1"/>
    </xf>
    <xf numFmtId="4" fontId="6" fillId="2" borderId="23" xfId="0" applyNumberFormat="1" applyFont="1" applyFill="1" applyBorder="1" applyAlignment="1">
      <alignment horizontal="center" vertical="center" wrapText="1"/>
    </xf>
    <xf numFmtId="4" fontId="20" fillId="11" borderId="54" xfId="1" applyNumberFormat="1" applyFont="1" applyFill="1" applyBorder="1" applyAlignment="1">
      <alignment horizontal="center" vertical="center" wrapText="1"/>
    </xf>
    <xf numFmtId="4" fontId="14" fillId="0" borderId="41" xfId="1" applyNumberFormat="1" applyFont="1" applyBorder="1" applyAlignment="1">
      <alignment horizontal="center" vertical="center" wrapText="1"/>
    </xf>
    <xf numFmtId="4" fontId="23" fillId="0" borderId="41" xfId="1" applyNumberFormat="1" applyFont="1" applyBorder="1" applyAlignment="1">
      <alignment horizontal="center" vertical="center" wrapText="1"/>
    </xf>
    <xf numFmtId="4" fontId="21" fillId="11" borderId="52" xfId="2" applyNumberFormat="1" applyFont="1" applyFill="1" applyBorder="1" applyAlignment="1">
      <alignment horizontal="center" vertical="center"/>
    </xf>
    <xf numFmtId="4" fontId="0" fillId="0" borderId="0" xfId="0" applyNumberFormat="1"/>
    <xf numFmtId="4" fontId="9" fillId="2" borderId="0" xfId="0" applyNumberFormat="1" applyFont="1" applyFill="1"/>
    <xf numFmtId="0" fontId="11" fillId="11" borderId="41" xfId="0" applyFont="1" applyFill="1" applyBorder="1" applyAlignment="1">
      <alignment horizontal="center" vertical="center" wrapText="1"/>
    </xf>
    <xf numFmtId="165" fontId="17" fillId="11" borderId="41" xfId="1" applyNumberFormat="1" applyFont="1" applyFill="1" applyBorder="1" applyAlignment="1">
      <alignment horizontal="center" vertical="center" wrapText="1"/>
    </xf>
    <xf numFmtId="9" fontId="17" fillId="11" borderId="41" xfId="1" applyNumberFormat="1" applyFont="1" applyFill="1" applyBorder="1" applyAlignment="1">
      <alignment horizontal="center" vertical="center" wrapText="1"/>
    </xf>
    <xf numFmtId="165" fontId="20" fillId="11" borderId="41" xfId="1" applyNumberFormat="1" applyFont="1" applyFill="1" applyBorder="1" applyAlignment="1">
      <alignment horizontal="center" vertical="center" wrapText="1"/>
    </xf>
    <xf numFmtId="0" fontId="0" fillId="0" borderId="0" xfId="0" applyAlignment="1">
      <alignment vertical="top"/>
    </xf>
    <xf numFmtId="49" fontId="11" fillId="5" borderId="25" xfId="0" applyNumberFormat="1" applyFont="1" applyFill="1" applyBorder="1" applyAlignment="1">
      <alignment horizontal="center" vertical="center" wrapText="1"/>
    </xf>
    <xf numFmtId="2" fontId="12" fillId="2" borderId="22" xfId="0" applyNumberFormat="1" applyFont="1" applyFill="1" applyBorder="1" applyAlignment="1">
      <alignment horizontal="left" vertical="center" wrapText="1"/>
    </xf>
    <xf numFmtId="2" fontId="12" fillId="2" borderId="22" xfId="0" applyNumberFormat="1" applyFont="1" applyFill="1" applyBorder="1" applyAlignment="1">
      <alignment horizontal="center" vertical="center" wrapText="1"/>
    </xf>
    <xf numFmtId="49" fontId="12" fillId="2" borderId="22" xfId="0" applyNumberFormat="1" applyFont="1" applyFill="1" applyBorder="1" applyAlignment="1">
      <alignment horizontal="center" vertical="center" wrapText="1"/>
    </xf>
    <xf numFmtId="4" fontId="12" fillId="2" borderId="22" xfId="0" applyNumberFormat="1" applyFont="1" applyFill="1" applyBorder="1" applyAlignment="1">
      <alignment horizontal="center" vertical="center" wrapText="1"/>
    </xf>
    <xf numFmtId="1" fontId="12" fillId="2" borderId="22" xfId="0" applyNumberFormat="1" applyFont="1" applyFill="1" applyBorder="1" applyAlignment="1">
      <alignment horizontal="center" vertical="center" wrapText="1"/>
    </xf>
    <xf numFmtId="167" fontId="12" fillId="2" borderId="22" xfId="0" applyNumberFormat="1" applyFont="1" applyFill="1" applyBorder="1" applyAlignment="1">
      <alignment horizontal="center" vertical="center" wrapText="1"/>
    </xf>
    <xf numFmtId="166" fontId="12" fillId="2" borderId="22" xfId="0" applyNumberFormat="1" applyFont="1" applyFill="1" applyBorder="1" applyAlignment="1">
      <alignment horizontal="center" vertical="center" wrapText="1"/>
    </xf>
    <xf numFmtId="3" fontId="12" fillId="2" borderId="22" xfId="0" applyNumberFormat="1" applyFont="1" applyFill="1" applyBorder="1" applyAlignment="1">
      <alignment horizontal="center" vertical="center" wrapText="1"/>
    </xf>
    <xf numFmtId="9" fontId="12" fillId="2" borderId="22" xfId="0" applyNumberFormat="1" applyFont="1" applyFill="1" applyBorder="1" applyAlignment="1">
      <alignment horizontal="center" vertical="center" wrapText="1"/>
    </xf>
    <xf numFmtId="0" fontId="18" fillId="0" borderId="41" xfId="1" applyFont="1" applyBorder="1" applyAlignment="1">
      <alignment vertical="center" wrapText="1"/>
    </xf>
    <xf numFmtId="0" fontId="18" fillId="0" borderId="41" xfId="1" applyFont="1" applyBorder="1" applyAlignment="1">
      <alignment horizontal="center" vertical="center" wrapText="1"/>
    </xf>
    <xf numFmtId="0" fontId="18" fillId="0" borderId="41" xfId="1" applyFont="1" applyBorder="1" applyAlignment="1">
      <alignment horizontal="left" vertical="center" wrapText="1"/>
    </xf>
    <xf numFmtId="167" fontId="18" fillId="0" borderId="41" xfId="1" applyNumberFormat="1" applyFont="1" applyBorder="1" applyAlignment="1">
      <alignment horizontal="center" vertical="center" wrapText="1"/>
    </xf>
    <xf numFmtId="4" fontId="18" fillId="0" borderId="41" xfId="1" applyNumberFormat="1" applyFont="1" applyBorder="1" applyAlignment="1">
      <alignment horizontal="center" vertical="center" wrapText="1"/>
    </xf>
    <xf numFmtId="1" fontId="18" fillId="0" borderId="41" xfId="1" applyNumberFormat="1" applyFont="1" applyBorder="1" applyAlignment="1">
      <alignment horizontal="center" vertical="center" wrapText="1"/>
    </xf>
    <xf numFmtId="2" fontId="18" fillId="0" borderId="41" xfId="1" applyNumberFormat="1" applyFont="1" applyBorder="1" applyAlignment="1">
      <alignment horizontal="center" vertical="center" wrapText="1"/>
    </xf>
    <xf numFmtId="9" fontId="18" fillId="0" borderId="41" xfId="1" applyNumberFormat="1" applyFont="1" applyBorder="1" applyAlignment="1">
      <alignment horizontal="center" vertical="center" wrapText="1"/>
    </xf>
    <xf numFmtId="3" fontId="18" fillId="0" borderId="41" xfId="1" applyNumberFormat="1" applyFont="1" applyBorder="1" applyAlignment="1">
      <alignment horizontal="center" vertical="center" wrapText="1"/>
    </xf>
    <xf numFmtId="0" fontId="11" fillId="6" borderId="22" xfId="0" applyFont="1" applyFill="1" applyBorder="1" applyAlignment="1">
      <alignment horizontal="center" vertical="center" wrapText="1"/>
    </xf>
    <xf numFmtId="0" fontId="12" fillId="2" borderId="29" xfId="0" applyFont="1" applyFill="1" applyBorder="1" applyAlignment="1">
      <alignment vertical="center" wrapText="1"/>
    </xf>
    <xf numFmtId="0" fontId="12" fillId="2" borderId="29" xfId="0" applyFont="1" applyFill="1" applyBorder="1" applyAlignment="1">
      <alignment horizontal="center" vertical="center" wrapText="1"/>
    </xf>
    <xf numFmtId="49" fontId="12" fillId="2" borderId="29" xfId="0" applyNumberFormat="1" applyFont="1" applyFill="1" applyBorder="1" applyAlignment="1">
      <alignment horizontal="center" vertical="center" wrapText="1"/>
    </xf>
    <xf numFmtId="49" fontId="11" fillId="2" borderId="22" xfId="0" applyNumberFormat="1" applyFont="1" applyFill="1" applyBorder="1" applyAlignment="1">
      <alignment horizontal="center" vertical="center" wrapText="1"/>
    </xf>
    <xf numFmtId="4" fontId="12" fillId="2" borderId="29" xfId="0" applyNumberFormat="1" applyFont="1" applyFill="1" applyBorder="1" applyAlignment="1">
      <alignment horizontal="center" vertical="center" wrapText="1"/>
    </xf>
    <xf numFmtId="169" fontId="12" fillId="2" borderId="22" xfId="0" applyNumberFormat="1" applyFont="1" applyFill="1" applyBorder="1" applyAlignment="1">
      <alignment horizontal="center" vertical="center" wrapText="1"/>
    </xf>
    <xf numFmtId="37" fontId="12" fillId="2" borderId="22" xfId="0" applyNumberFormat="1" applyFont="1" applyFill="1" applyBorder="1" applyAlignment="1">
      <alignment horizontal="center" vertical="center" wrapText="1"/>
    </xf>
    <xf numFmtId="37" fontId="11" fillId="2" borderId="22" xfId="0" applyNumberFormat="1" applyFont="1" applyFill="1" applyBorder="1" applyAlignment="1">
      <alignment horizontal="center" vertical="center" wrapText="1"/>
    </xf>
    <xf numFmtId="0" fontId="11" fillId="6" borderId="22" xfId="0" quotePrefix="1" applyFont="1" applyFill="1" applyBorder="1" applyAlignment="1">
      <alignment horizontal="center" vertical="center" wrapText="1"/>
    </xf>
    <xf numFmtId="0" fontId="11" fillId="14" borderId="22" xfId="0" applyFont="1" applyFill="1" applyBorder="1" applyAlignment="1">
      <alignment horizontal="center" vertical="center" wrapText="1"/>
    </xf>
    <xf numFmtId="2" fontId="11" fillId="2" borderId="22" xfId="0" applyNumberFormat="1" applyFont="1" applyFill="1" applyBorder="1" applyAlignment="1">
      <alignment vertical="center" wrapText="1"/>
    </xf>
    <xf numFmtId="2" fontId="11" fillId="2" borderId="22" xfId="0" applyNumberFormat="1" applyFont="1" applyFill="1" applyBorder="1" applyAlignment="1">
      <alignment horizontal="center" vertical="center" wrapText="1"/>
    </xf>
    <xf numFmtId="4" fontId="11" fillId="2" borderId="22" xfId="0" applyNumberFormat="1" applyFont="1" applyFill="1" applyBorder="1" applyAlignment="1">
      <alignment horizontal="center" vertical="center" wrapText="1"/>
    </xf>
    <xf numFmtId="165" fontId="11" fillId="2" borderId="22" xfId="0" applyNumberFormat="1" applyFont="1" applyFill="1" applyBorder="1" applyAlignment="1">
      <alignment horizontal="center" vertical="center" wrapText="1"/>
    </xf>
    <xf numFmtId="9" fontId="11" fillId="2" borderId="22" xfId="0" applyNumberFormat="1" applyFont="1" applyFill="1" applyBorder="1" applyAlignment="1">
      <alignment horizontal="center" vertical="center" wrapText="1"/>
    </xf>
    <xf numFmtId="164" fontId="11" fillId="2" borderId="22" xfId="0" applyNumberFormat="1" applyFont="1" applyFill="1" applyBorder="1" applyAlignment="1">
      <alignment horizontal="center" vertical="center" wrapText="1"/>
    </xf>
    <xf numFmtId="164" fontId="11" fillId="2" borderId="22" xfId="0" applyNumberFormat="1" applyFont="1" applyFill="1" applyBorder="1" applyAlignment="1">
      <alignment horizontal="left" vertical="center"/>
    </xf>
    <xf numFmtId="164" fontId="28" fillId="2" borderId="28" xfId="0" applyNumberFormat="1" applyFont="1" applyFill="1" applyBorder="1" applyAlignment="1">
      <alignment horizontal="center" vertical="center"/>
    </xf>
    <xf numFmtId="164" fontId="28" fillId="2" borderId="22" xfId="0" applyNumberFormat="1" applyFont="1" applyFill="1" applyBorder="1" applyAlignment="1">
      <alignment horizontal="center" vertical="center"/>
    </xf>
    <xf numFmtId="4" fontId="28" fillId="2" borderId="22" xfId="0" applyNumberFormat="1" applyFont="1" applyFill="1" applyBorder="1" applyAlignment="1">
      <alignment horizontal="center" vertical="center"/>
    </xf>
    <xf numFmtId="1" fontId="28" fillId="2" borderId="22" xfId="0" applyNumberFormat="1" applyFont="1" applyFill="1" applyBorder="1" applyAlignment="1">
      <alignment horizontal="center" vertical="center"/>
    </xf>
    <xf numFmtId="164" fontId="28" fillId="2" borderId="22" xfId="0" applyNumberFormat="1" applyFont="1" applyFill="1" applyBorder="1" applyAlignment="1">
      <alignment vertical="center"/>
    </xf>
    <xf numFmtId="164" fontId="11" fillId="7" borderId="22" xfId="0" applyNumberFormat="1" applyFont="1" applyFill="1" applyBorder="1" applyAlignment="1">
      <alignment horizontal="center" vertical="center" wrapText="1"/>
    </xf>
    <xf numFmtId="49" fontId="11" fillId="4" borderId="25" xfId="0" applyNumberFormat="1" applyFont="1" applyFill="1" applyBorder="1" applyAlignment="1">
      <alignment horizontal="center" vertical="center" wrapText="1"/>
    </xf>
    <xf numFmtId="166" fontId="12" fillId="2" borderId="25" xfId="0" applyNumberFormat="1" applyFont="1" applyFill="1" applyBorder="1" applyAlignment="1">
      <alignment horizontal="center" vertical="center" wrapText="1"/>
    </xf>
    <xf numFmtId="166" fontId="12" fillId="2" borderId="23" xfId="0" applyNumberFormat="1" applyFont="1" applyFill="1" applyBorder="1" applyAlignment="1">
      <alignment horizontal="center" vertical="center" wrapText="1"/>
    </xf>
    <xf numFmtId="4" fontId="12" fillId="2" borderId="23" xfId="0" applyNumberFormat="1" applyFont="1" applyFill="1" applyBorder="1" applyAlignment="1">
      <alignment horizontal="center" vertical="center" wrapText="1"/>
    </xf>
    <xf numFmtId="165" fontId="12" fillId="2" borderId="22" xfId="0" applyNumberFormat="1" applyFont="1" applyFill="1" applyBorder="1" applyAlignment="1">
      <alignment horizontal="center" vertical="center" wrapText="1"/>
    </xf>
    <xf numFmtId="2" fontId="12" fillId="2" borderId="23" xfId="0" applyNumberFormat="1" applyFont="1" applyFill="1" applyBorder="1" applyAlignment="1">
      <alignment horizontal="center" vertical="center" wrapText="1"/>
    </xf>
    <xf numFmtId="2" fontId="11" fillId="2" borderId="23" xfId="0" applyNumberFormat="1" applyFont="1" applyFill="1" applyBorder="1" applyAlignment="1">
      <alignment horizontal="center" vertical="center" wrapText="1"/>
    </xf>
    <xf numFmtId="4" fontId="11" fillId="2" borderId="23" xfId="0" applyNumberFormat="1" applyFont="1" applyFill="1" applyBorder="1" applyAlignment="1">
      <alignment horizontal="center" vertical="center" wrapText="1"/>
    </xf>
    <xf numFmtId="49" fontId="11" fillId="4" borderId="36" xfId="0" applyNumberFormat="1" applyFont="1" applyFill="1" applyBorder="1" applyAlignment="1">
      <alignment horizontal="center" vertical="center" wrapText="1"/>
    </xf>
    <xf numFmtId="3" fontId="12" fillId="2" borderId="26" xfId="0" applyNumberFormat="1" applyFont="1" applyFill="1" applyBorder="1" applyAlignment="1">
      <alignment horizontal="center" vertical="center" wrapText="1"/>
    </xf>
    <xf numFmtId="4" fontId="11" fillId="2" borderId="41" xfId="0" applyNumberFormat="1" applyFont="1" applyFill="1" applyBorder="1" applyAlignment="1">
      <alignment horizontal="center" vertical="center" wrapText="1"/>
    </xf>
    <xf numFmtId="0" fontId="11" fillId="2" borderId="41" xfId="0" applyFont="1" applyFill="1" applyBorder="1" applyAlignment="1">
      <alignment horizontal="left" vertical="center" wrapText="1"/>
    </xf>
    <xf numFmtId="166" fontId="12" fillId="2" borderId="41" xfId="0" applyNumberFormat="1" applyFont="1" applyFill="1" applyBorder="1" applyAlignment="1">
      <alignment horizontal="center" vertical="center" wrapText="1"/>
    </xf>
    <xf numFmtId="4" fontId="12" fillId="2" borderId="41" xfId="0" applyNumberFormat="1" applyFont="1" applyFill="1" applyBorder="1" applyAlignment="1">
      <alignment horizontal="center" vertical="center" wrapText="1"/>
    </xf>
    <xf numFmtId="165" fontId="12" fillId="2" borderId="41" xfId="0" applyNumberFormat="1" applyFont="1" applyFill="1" applyBorder="1" applyAlignment="1">
      <alignment horizontal="center" vertical="center" wrapText="1"/>
    </xf>
    <xf numFmtId="167" fontId="12" fillId="2" borderId="41" xfId="0" applyNumberFormat="1" applyFont="1" applyFill="1" applyBorder="1" applyAlignment="1">
      <alignment horizontal="center" vertical="center" wrapText="1"/>
    </xf>
    <xf numFmtId="3" fontId="12" fillId="2" borderId="41" xfId="0" applyNumberFormat="1" applyFont="1" applyFill="1" applyBorder="1" applyAlignment="1">
      <alignment horizontal="center" vertical="center" wrapText="1"/>
    </xf>
    <xf numFmtId="0" fontId="11" fillId="0" borderId="22" xfId="0" applyFont="1" applyBorder="1" applyAlignment="1">
      <alignment horizontal="center" vertical="center" wrapText="1"/>
    </xf>
    <xf numFmtId="0" fontId="11" fillId="2" borderId="38" xfId="0" applyFont="1" applyFill="1" applyBorder="1" applyAlignment="1">
      <alignment horizontal="center" vertical="center" wrapText="1"/>
    </xf>
    <xf numFmtId="49" fontId="11" fillId="2" borderId="38" xfId="0" applyNumberFormat="1" applyFont="1" applyFill="1" applyBorder="1" applyAlignment="1">
      <alignment horizontal="center" vertical="center" wrapText="1"/>
    </xf>
    <xf numFmtId="3" fontId="11" fillId="2" borderId="38" xfId="0" applyNumberFormat="1" applyFont="1" applyFill="1" applyBorder="1" applyAlignment="1">
      <alignment horizontal="center" vertical="center" wrapText="1"/>
    </xf>
    <xf numFmtId="4" fontId="11" fillId="2" borderId="38" xfId="0" applyNumberFormat="1" applyFont="1" applyFill="1" applyBorder="1" applyAlignment="1">
      <alignment horizontal="center" vertical="center" wrapText="1"/>
    </xf>
    <xf numFmtId="167" fontId="11" fillId="2" borderId="38" xfId="0" applyNumberFormat="1" applyFont="1" applyFill="1" applyBorder="1" applyAlignment="1">
      <alignment horizontal="center" vertical="center" wrapText="1"/>
    </xf>
    <xf numFmtId="168" fontId="11" fillId="2" borderId="38" xfId="0" applyNumberFormat="1" applyFont="1" applyFill="1" applyBorder="1" applyAlignment="1">
      <alignment horizontal="center" vertical="center" wrapText="1"/>
    </xf>
    <xf numFmtId="3" fontId="11" fillId="2" borderId="53" xfId="0" applyNumberFormat="1" applyFont="1" applyFill="1" applyBorder="1" applyAlignment="1">
      <alignment horizontal="center" vertical="center"/>
    </xf>
    <xf numFmtId="168" fontId="11" fillId="2" borderId="22" xfId="0" applyNumberFormat="1" applyFont="1" applyFill="1" applyBorder="1" applyAlignment="1">
      <alignment horizontal="center" vertical="center" wrapText="1"/>
    </xf>
    <xf numFmtId="0" fontId="11" fillId="15" borderId="28" xfId="0" applyFont="1" applyFill="1" applyBorder="1" applyAlignment="1">
      <alignment horizontal="center" vertical="center" wrapText="1"/>
    </xf>
    <xf numFmtId="0" fontId="12" fillId="11" borderId="41" xfId="0" applyFont="1" applyFill="1" applyBorder="1" applyAlignment="1">
      <alignment vertical="center" wrapText="1"/>
    </xf>
    <xf numFmtId="0" fontId="12" fillId="11" borderId="41" xfId="0" applyFont="1" applyFill="1" applyBorder="1" applyAlignment="1">
      <alignment horizontal="center" vertical="center" wrapText="1"/>
    </xf>
    <xf numFmtId="4" fontId="12" fillId="11" borderId="41" xfId="0" applyNumberFormat="1" applyFont="1" applyFill="1" applyBorder="1" applyAlignment="1">
      <alignment horizontal="center" vertical="center" wrapText="1"/>
    </xf>
    <xf numFmtId="3" fontId="12" fillId="11" borderId="41" xfId="0" applyNumberFormat="1" applyFont="1" applyFill="1" applyBorder="1" applyAlignment="1">
      <alignment horizontal="center" vertical="center" wrapText="1"/>
    </xf>
    <xf numFmtId="9" fontId="12" fillId="11" borderId="41" xfId="0" applyNumberFormat="1" applyFont="1" applyFill="1" applyBorder="1" applyAlignment="1">
      <alignment horizontal="center" vertical="center" wrapText="1"/>
    </xf>
    <xf numFmtId="3" fontId="11" fillId="11" borderId="41" xfId="0" applyNumberFormat="1" applyFont="1" applyFill="1" applyBorder="1" applyAlignment="1">
      <alignment horizontal="center" vertical="center" wrapText="1"/>
    </xf>
    <xf numFmtId="0" fontId="12" fillId="2" borderId="31" xfId="0" applyFont="1" applyFill="1" applyBorder="1" applyAlignment="1">
      <alignment vertical="center" wrapText="1"/>
    </xf>
    <xf numFmtId="0" fontId="12" fillId="2" borderId="31" xfId="0" applyFont="1" applyFill="1" applyBorder="1" applyAlignment="1">
      <alignment horizontal="center" vertical="center" wrapText="1"/>
    </xf>
    <xf numFmtId="49" fontId="12" fillId="2" borderId="31" xfId="0" applyNumberFormat="1" applyFont="1" applyFill="1" applyBorder="1" applyAlignment="1">
      <alignment horizontal="center" vertical="center" wrapText="1"/>
    </xf>
    <xf numFmtId="49" fontId="11" fillId="2" borderId="20" xfId="0" applyNumberFormat="1" applyFont="1" applyFill="1" applyBorder="1" applyAlignment="1">
      <alignment horizontal="center" vertical="center" wrapText="1"/>
    </xf>
    <xf numFmtId="1" fontId="12" fillId="2" borderId="34" xfId="0" applyNumberFormat="1" applyFont="1" applyFill="1" applyBorder="1" applyAlignment="1">
      <alignment horizontal="center" vertical="center" wrapText="1"/>
    </xf>
    <xf numFmtId="2" fontId="12" fillId="2" borderId="34" xfId="0" applyNumberFormat="1" applyFont="1" applyFill="1" applyBorder="1" applyAlignment="1">
      <alignment horizontal="center" vertical="center" wrapText="1"/>
    </xf>
    <xf numFmtId="4" fontId="12" fillId="2" borderId="31" xfId="0" applyNumberFormat="1" applyFont="1" applyFill="1" applyBorder="1" applyAlignment="1">
      <alignment horizontal="center" vertical="center" wrapText="1"/>
    </xf>
    <xf numFmtId="4" fontId="12" fillId="2" borderId="20" xfId="0" applyNumberFormat="1" applyFont="1" applyFill="1" applyBorder="1" applyAlignment="1">
      <alignment horizontal="center" vertical="center" wrapText="1"/>
    </xf>
    <xf numFmtId="167" fontId="12" fillId="2" borderId="20" xfId="0" applyNumberFormat="1" applyFont="1" applyFill="1" applyBorder="1" applyAlignment="1">
      <alignment horizontal="center" vertical="center" wrapText="1"/>
    </xf>
    <xf numFmtId="169" fontId="12" fillId="2" borderId="20" xfId="0" applyNumberFormat="1" applyFont="1" applyFill="1" applyBorder="1" applyAlignment="1">
      <alignment horizontal="center" vertical="center" wrapText="1"/>
    </xf>
    <xf numFmtId="3" fontId="12" fillId="2" borderId="20" xfId="0" applyNumberFormat="1" applyFont="1" applyFill="1" applyBorder="1" applyAlignment="1">
      <alignment horizontal="center" vertical="center" wrapText="1"/>
    </xf>
    <xf numFmtId="9" fontId="12" fillId="2" borderId="20" xfId="0" applyNumberFormat="1" applyFont="1" applyFill="1" applyBorder="1" applyAlignment="1">
      <alignment horizontal="center" vertical="center" wrapText="1"/>
    </xf>
    <xf numFmtId="3" fontId="11" fillId="2" borderId="20" xfId="0" applyNumberFormat="1" applyFont="1" applyFill="1" applyBorder="1" applyAlignment="1">
      <alignment horizontal="center" vertical="center" wrapText="1"/>
    </xf>
    <xf numFmtId="2" fontId="12" fillId="2" borderId="20" xfId="0" applyNumberFormat="1" applyFont="1" applyFill="1" applyBorder="1" applyAlignment="1">
      <alignment horizontal="center" vertical="center" wrapText="1"/>
    </xf>
    <xf numFmtId="49" fontId="18" fillId="10" borderId="54" xfId="1" applyNumberFormat="1" applyFont="1" applyFill="1" applyBorder="1" applyAlignment="1">
      <alignment horizontal="center" vertical="center" wrapText="1"/>
    </xf>
    <xf numFmtId="2" fontId="20" fillId="11" borderId="41" xfId="1" applyNumberFormat="1" applyFont="1" applyFill="1" applyBorder="1" applyAlignment="1">
      <alignment vertical="center" wrapText="1"/>
    </xf>
    <xf numFmtId="0" fontId="20" fillId="11" borderId="41" xfId="1" applyFont="1" applyFill="1" applyBorder="1" applyAlignment="1">
      <alignment horizontal="center" vertical="center" wrapText="1"/>
    </xf>
    <xf numFmtId="4" fontId="20" fillId="11" borderId="56" xfId="1" applyNumberFormat="1" applyFont="1" applyFill="1" applyBorder="1" applyAlignment="1">
      <alignment horizontal="center" vertical="center" wrapText="1"/>
    </xf>
    <xf numFmtId="9" fontId="20" fillId="11" borderId="57" xfId="1" applyNumberFormat="1" applyFont="1" applyFill="1" applyBorder="1" applyAlignment="1">
      <alignment horizontal="center" vertical="center" wrapText="1"/>
    </xf>
    <xf numFmtId="3" fontId="20" fillId="11" borderId="41" xfId="1" applyNumberFormat="1" applyFont="1" applyFill="1" applyBorder="1" applyAlignment="1">
      <alignment horizontal="center" vertical="center" wrapText="1"/>
    </xf>
    <xf numFmtId="2" fontId="20" fillId="11" borderId="56" xfId="1" applyNumberFormat="1" applyFont="1" applyFill="1" applyBorder="1" applyAlignment="1">
      <alignment vertical="center" wrapText="1"/>
    </xf>
    <xf numFmtId="164" fontId="28" fillId="2" borderId="40" xfId="0" applyNumberFormat="1" applyFont="1" applyFill="1" applyBorder="1" applyAlignment="1">
      <alignment horizontal="center" vertical="center"/>
    </xf>
    <xf numFmtId="4" fontId="28" fillId="2" borderId="40" xfId="0" applyNumberFormat="1" applyFont="1" applyFill="1" applyBorder="1" applyAlignment="1">
      <alignment horizontal="center" vertical="center"/>
    </xf>
    <xf numFmtId="1" fontId="28" fillId="2" borderId="40" xfId="0" applyNumberFormat="1" applyFont="1" applyFill="1" applyBorder="1" applyAlignment="1">
      <alignment horizontal="center" vertical="center"/>
    </xf>
    <xf numFmtId="164" fontId="28" fillId="2" borderId="40" xfId="0" applyNumberFormat="1" applyFont="1" applyFill="1" applyBorder="1" applyAlignment="1">
      <alignment vertical="center"/>
    </xf>
    <xf numFmtId="3" fontId="11" fillId="2" borderId="40" xfId="0" applyNumberFormat="1" applyFont="1" applyFill="1" applyBorder="1" applyAlignment="1">
      <alignment horizontal="center" vertical="center"/>
    </xf>
    <xf numFmtId="3" fontId="11" fillId="2" borderId="47" xfId="0" applyNumberFormat="1" applyFont="1" applyFill="1" applyBorder="1" applyAlignment="1">
      <alignment horizontal="center" vertical="center" wrapText="1"/>
    </xf>
    <xf numFmtId="49" fontId="11" fillId="13" borderId="25" xfId="0" applyNumberFormat="1" applyFont="1" applyFill="1" applyBorder="1" applyAlignment="1">
      <alignment horizontal="center" vertical="center" wrapText="1"/>
    </xf>
    <xf numFmtId="49" fontId="11" fillId="2" borderId="22" xfId="0" applyNumberFormat="1" applyFont="1" applyFill="1" applyBorder="1" applyAlignment="1">
      <alignment horizontal="left" vertical="center" wrapText="1"/>
    </xf>
    <xf numFmtId="166" fontId="11" fillId="2" borderId="22" xfId="0" applyNumberFormat="1" applyFont="1" applyFill="1" applyBorder="1" applyAlignment="1">
      <alignment horizontal="center" vertical="center" wrapText="1"/>
    </xf>
    <xf numFmtId="167" fontId="11" fillId="2" borderId="22" xfId="0" applyNumberFormat="1" applyFont="1" applyFill="1" applyBorder="1" applyAlignment="1">
      <alignment horizontal="center" vertical="center" wrapText="1"/>
    </xf>
    <xf numFmtId="4" fontId="20" fillId="11" borderId="59" xfId="1" applyNumberFormat="1" applyFont="1" applyFill="1" applyBorder="1" applyAlignment="1">
      <alignment horizontal="center" vertical="center" wrapText="1"/>
    </xf>
    <xf numFmtId="171" fontId="11" fillId="2" borderId="53" xfId="0" applyNumberFormat="1" applyFont="1" applyFill="1" applyBorder="1" applyAlignment="1">
      <alignment horizontal="center" vertical="center"/>
    </xf>
    <xf numFmtId="4" fontId="11" fillId="2" borderId="34" xfId="0" applyNumberFormat="1" applyFont="1" applyFill="1" applyBorder="1" applyAlignment="1">
      <alignment horizontal="center" vertical="center" wrapText="1"/>
    </xf>
    <xf numFmtId="49" fontId="12" fillId="2" borderId="41" xfId="0" applyNumberFormat="1" applyFont="1" applyFill="1" applyBorder="1" applyAlignment="1">
      <alignment horizontal="center" vertical="center" wrapText="1"/>
    </xf>
    <xf numFmtId="1" fontId="12" fillId="2" borderId="41" xfId="0" applyNumberFormat="1" applyFont="1" applyFill="1" applyBorder="1" applyAlignment="1">
      <alignment horizontal="center" vertical="center" wrapText="1"/>
    </xf>
    <xf numFmtId="2" fontId="12" fillId="2" borderId="41" xfId="0" applyNumberFormat="1" applyFont="1" applyFill="1" applyBorder="1" applyAlignment="1">
      <alignment horizontal="center" vertical="center" wrapText="1"/>
    </xf>
    <xf numFmtId="4" fontId="12" fillId="2" borderId="26" xfId="0" applyNumberFormat="1" applyFont="1" applyFill="1" applyBorder="1" applyAlignment="1">
      <alignment horizontal="center" vertical="center" wrapText="1"/>
    </xf>
    <xf numFmtId="9" fontId="12" fillId="9" borderId="22" xfId="0" applyNumberFormat="1" applyFont="1" applyFill="1" applyBorder="1" applyAlignment="1">
      <alignment horizontal="center" vertical="center" wrapText="1"/>
    </xf>
    <xf numFmtId="2" fontId="11" fillId="2" borderId="20" xfId="0" applyNumberFormat="1" applyFont="1" applyFill="1" applyBorder="1" applyAlignment="1">
      <alignment horizontal="center" vertical="center" wrapText="1"/>
    </xf>
    <xf numFmtId="4" fontId="11" fillId="2" borderId="20" xfId="0" applyNumberFormat="1" applyFont="1" applyFill="1" applyBorder="1" applyAlignment="1">
      <alignment horizontal="center" vertical="center" wrapText="1"/>
    </xf>
    <xf numFmtId="0" fontId="11" fillId="14" borderId="28" xfId="0" applyFont="1" applyFill="1" applyBorder="1" applyAlignment="1">
      <alignment horizontal="center" vertical="center" wrapText="1"/>
    </xf>
    <xf numFmtId="0" fontId="11" fillId="6" borderId="28" xfId="0" applyFont="1" applyFill="1" applyBorder="1" applyAlignment="1">
      <alignment horizontal="center" vertical="center" wrapText="1"/>
    </xf>
    <xf numFmtId="49" fontId="11" fillId="2" borderId="17" xfId="0" applyNumberFormat="1" applyFont="1" applyFill="1" applyBorder="1" applyAlignment="1">
      <alignment horizontal="center" vertical="center" wrapText="1"/>
    </xf>
    <xf numFmtId="49" fontId="12" fillId="2" borderId="57" xfId="0" applyNumberFormat="1" applyFont="1" applyFill="1" applyBorder="1" applyAlignment="1">
      <alignment horizontal="center" vertical="center" wrapText="1"/>
    </xf>
    <xf numFmtId="2" fontId="11" fillId="2" borderId="20" xfId="0" applyNumberFormat="1" applyFont="1" applyFill="1" applyBorder="1" applyAlignment="1">
      <alignment vertical="center" wrapText="1"/>
    </xf>
    <xf numFmtId="0" fontId="12" fillId="2" borderId="41" xfId="0" applyFont="1" applyFill="1" applyBorder="1" applyAlignment="1">
      <alignment vertical="center" wrapText="1"/>
    </xf>
    <xf numFmtId="2" fontId="12" fillId="11" borderId="41" xfId="0" applyNumberFormat="1" applyFont="1" applyFill="1" applyBorder="1" applyAlignment="1">
      <alignment horizontal="center" vertical="center" wrapText="1"/>
    </xf>
    <xf numFmtId="9" fontId="20" fillId="11" borderId="41" xfId="1" applyNumberFormat="1" applyFont="1" applyFill="1" applyBorder="1" applyAlignment="1">
      <alignment horizontal="center" vertical="center" wrapText="1"/>
    </xf>
    <xf numFmtId="49" fontId="11" fillId="2" borderId="26" xfId="0" applyNumberFormat="1" applyFont="1" applyFill="1" applyBorder="1" applyAlignment="1">
      <alignment horizontal="center" vertical="center" wrapText="1"/>
    </xf>
    <xf numFmtId="0" fontId="11" fillId="6" borderId="28" xfId="0" quotePrefix="1" applyFont="1" applyFill="1" applyBorder="1" applyAlignment="1">
      <alignment horizontal="center" vertical="center" wrapText="1"/>
    </xf>
    <xf numFmtId="2" fontId="12" fillId="2" borderId="39" xfId="0" applyNumberFormat="1" applyFont="1" applyFill="1" applyBorder="1" applyAlignment="1">
      <alignment horizontal="center" vertical="center" wrapText="1"/>
    </xf>
    <xf numFmtId="0" fontId="12" fillId="0" borderId="41" xfId="0" applyFont="1" applyBorder="1" applyAlignment="1">
      <alignment horizontal="left" vertical="center"/>
    </xf>
    <xf numFmtId="164" fontId="11" fillId="2" borderId="50" xfId="0" applyNumberFormat="1" applyFont="1" applyFill="1" applyBorder="1" applyAlignment="1">
      <alignment horizontal="center" vertical="center" wrapText="1"/>
    </xf>
    <xf numFmtId="164" fontId="11" fillId="2" borderId="50" xfId="0" applyNumberFormat="1" applyFont="1" applyFill="1" applyBorder="1" applyAlignment="1">
      <alignment horizontal="left" vertical="center"/>
    </xf>
    <xf numFmtId="164" fontId="28" fillId="2" borderId="50" xfId="0" applyNumberFormat="1" applyFont="1" applyFill="1" applyBorder="1" applyAlignment="1">
      <alignment horizontal="center" vertical="center"/>
    </xf>
    <xf numFmtId="4" fontId="28" fillId="2" borderId="50" xfId="0" applyNumberFormat="1" applyFont="1" applyFill="1" applyBorder="1" applyAlignment="1">
      <alignment horizontal="center" vertical="center"/>
    </xf>
    <xf numFmtId="1" fontId="28" fillId="2" borderId="50" xfId="0" applyNumberFormat="1" applyFont="1" applyFill="1" applyBorder="1" applyAlignment="1">
      <alignment horizontal="center" vertical="center"/>
    </xf>
    <xf numFmtId="164" fontId="28" fillId="2" borderId="50" xfId="0" applyNumberFormat="1" applyFont="1" applyFill="1" applyBorder="1" applyAlignment="1">
      <alignment vertical="center"/>
    </xf>
    <xf numFmtId="4" fontId="20" fillId="11" borderId="57" xfId="1" applyNumberFormat="1" applyFont="1" applyFill="1" applyBorder="1" applyAlignment="1">
      <alignment horizontal="center" vertical="center" wrapText="1"/>
    </xf>
    <xf numFmtId="164" fontId="11" fillId="2" borderId="40" xfId="0" applyNumberFormat="1" applyFont="1" applyFill="1" applyBorder="1" applyAlignment="1">
      <alignment horizontal="center" vertical="center" wrapText="1"/>
    </xf>
    <xf numFmtId="164" fontId="11" fillId="2" borderId="40" xfId="0" applyNumberFormat="1" applyFont="1" applyFill="1" applyBorder="1" applyAlignment="1">
      <alignment horizontal="left" vertical="center"/>
    </xf>
    <xf numFmtId="164" fontId="11" fillId="2" borderId="51" xfId="0" applyNumberFormat="1" applyFont="1" applyFill="1" applyBorder="1" applyAlignment="1">
      <alignment horizontal="center" vertical="center" wrapText="1"/>
    </xf>
    <xf numFmtId="164" fontId="11" fillId="2" borderId="51" xfId="0" applyNumberFormat="1" applyFont="1" applyFill="1" applyBorder="1" applyAlignment="1">
      <alignment horizontal="left" vertical="center"/>
    </xf>
    <xf numFmtId="164" fontId="28" fillId="2" borderId="51" xfId="0" applyNumberFormat="1" applyFont="1" applyFill="1" applyBorder="1" applyAlignment="1">
      <alignment horizontal="center" vertical="center"/>
    </xf>
    <xf numFmtId="4" fontId="28" fillId="2" borderId="51" xfId="0" applyNumberFormat="1" applyFont="1" applyFill="1" applyBorder="1" applyAlignment="1">
      <alignment horizontal="center" vertical="center"/>
    </xf>
    <xf numFmtId="1" fontId="28" fillId="2" borderId="51" xfId="0" applyNumberFormat="1" applyFont="1" applyFill="1" applyBorder="1" applyAlignment="1">
      <alignment horizontal="center" vertical="center"/>
    </xf>
    <xf numFmtId="164" fontId="28" fillId="2" borderId="51" xfId="0" applyNumberFormat="1" applyFont="1" applyFill="1" applyBorder="1" applyAlignment="1">
      <alignment vertical="center"/>
    </xf>
    <xf numFmtId="3" fontId="11" fillId="2" borderId="52" xfId="0" applyNumberFormat="1" applyFont="1" applyFill="1" applyBorder="1" applyAlignment="1">
      <alignment horizontal="center" vertical="center"/>
    </xf>
    <xf numFmtId="0" fontId="11" fillId="2" borderId="17" xfId="0" applyFont="1" applyFill="1" applyBorder="1" applyAlignment="1">
      <alignment horizontal="center" vertical="center" wrapText="1"/>
    </xf>
    <xf numFmtId="0" fontId="12" fillId="2" borderId="42" xfId="0" applyFont="1" applyFill="1" applyBorder="1" applyAlignment="1">
      <alignment horizontal="center" vertical="center" wrapText="1"/>
    </xf>
    <xf numFmtId="49" fontId="12" fillId="2" borderId="42" xfId="0" applyNumberFormat="1" applyFont="1" applyFill="1" applyBorder="1" applyAlignment="1">
      <alignment horizontal="center" vertical="center" wrapText="1"/>
    </xf>
    <xf numFmtId="49" fontId="12" fillId="2" borderId="48" xfId="0" applyNumberFormat="1" applyFont="1" applyFill="1" applyBorder="1" applyAlignment="1">
      <alignment horizontal="center" vertical="center" wrapText="1"/>
    </xf>
    <xf numFmtId="49" fontId="12" fillId="2" borderId="30" xfId="0" applyNumberFormat="1" applyFont="1" applyFill="1" applyBorder="1" applyAlignment="1">
      <alignment horizontal="center" vertical="center" wrapText="1"/>
    </xf>
    <xf numFmtId="0" fontId="12" fillId="2" borderId="0" xfId="0" applyFont="1" applyFill="1" applyAlignment="1">
      <alignment horizontal="center" vertical="center" wrapText="1"/>
    </xf>
    <xf numFmtId="0" fontId="18" fillId="0" borderId="41" xfId="1" applyFont="1" applyBorder="1" applyAlignment="1">
      <alignment horizontal="centerContinuous" vertical="center" wrapText="1"/>
    </xf>
    <xf numFmtId="0" fontId="20" fillId="0" borderId="41" xfId="1" applyFont="1" applyBorder="1" applyAlignment="1">
      <alignment horizontal="centerContinuous" vertical="center" wrapText="1"/>
    </xf>
    <xf numFmtId="0" fontId="20" fillId="0" borderId="41" xfId="1" applyFont="1" applyBorder="1" applyAlignment="1">
      <alignment horizontal="center" vertical="center" wrapText="1"/>
    </xf>
    <xf numFmtId="167" fontId="20" fillId="0" borderId="41" xfId="1" applyNumberFormat="1" applyFont="1" applyBorder="1" applyAlignment="1">
      <alignment horizontal="center" vertical="center" wrapText="1"/>
    </xf>
    <xf numFmtId="4" fontId="20" fillId="0" borderId="41" xfId="1" applyNumberFormat="1" applyFont="1" applyBorder="1" applyAlignment="1">
      <alignment horizontal="center" vertical="center" wrapText="1"/>
    </xf>
    <xf numFmtId="1" fontId="20" fillId="0" borderId="41" xfId="0" applyNumberFormat="1" applyFont="1" applyBorder="1" applyAlignment="1">
      <alignment horizontal="center" vertical="center"/>
    </xf>
    <xf numFmtId="1" fontId="20" fillId="0" borderId="41" xfId="1" applyNumberFormat="1" applyFont="1" applyBorder="1" applyAlignment="1">
      <alignment horizontal="center" vertical="center" wrapText="1"/>
    </xf>
    <xf numFmtId="9" fontId="20" fillId="0" borderId="41" xfId="1" applyNumberFormat="1" applyFont="1" applyBorder="1" applyAlignment="1">
      <alignment horizontal="center" vertical="center" wrapText="1"/>
    </xf>
    <xf numFmtId="3" fontId="20" fillId="0" borderId="41" xfId="1" applyNumberFormat="1" applyFont="1" applyBorder="1" applyAlignment="1">
      <alignment horizontal="center" vertical="center" wrapText="1"/>
    </xf>
    <xf numFmtId="0" fontId="20" fillId="0" borderId="41" xfId="1" applyFont="1" applyBorder="1" applyAlignment="1">
      <alignment horizontal="left" vertical="center" wrapText="1"/>
    </xf>
    <xf numFmtId="164" fontId="11" fillId="2" borderId="28" xfId="0" applyNumberFormat="1" applyFont="1" applyFill="1" applyBorder="1" applyAlignment="1">
      <alignment vertical="center"/>
    </xf>
    <xf numFmtId="49" fontId="11" fillId="4" borderId="41" xfId="0" applyNumberFormat="1" applyFont="1" applyFill="1" applyBorder="1" applyAlignment="1">
      <alignment horizontal="center" vertical="center" wrapText="1"/>
    </xf>
    <xf numFmtId="164" fontId="11" fillId="2" borderId="41" xfId="0" applyNumberFormat="1" applyFont="1" applyFill="1" applyBorder="1" applyAlignment="1">
      <alignment horizontal="center" vertical="center" wrapText="1"/>
    </xf>
    <xf numFmtId="164" fontId="11" fillId="2" borderId="41" xfId="0" applyNumberFormat="1" applyFont="1" applyFill="1" applyBorder="1" applyAlignment="1">
      <alignment horizontal="left" vertical="center"/>
    </xf>
    <xf numFmtId="164" fontId="28" fillId="2" borderId="41" xfId="0" applyNumberFormat="1" applyFont="1" applyFill="1" applyBorder="1" applyAlignment="1">
      <alignment horizontal="center" vertical="center"/>
    </xf>
    <xf numFmtId="4" fontId="28" fillId="2" borderId="41" xfId="0" applyNumberFormat="1" applyFont="1" applyFill="1" applyBorder="1" applyAlignment="1">
      <alignment horizontal="center" vertical="center"/>
    </xf>
    <xf numFmtId="1" fontId="28" fillId="2" borderId="41" xfId="0" applyNumberFormat="1" applyFont="1" applyFill="1" applyBorder="1" applyAlignment="1">
      <alignment horizontal="center" vertical="center"/>
    </xf>
    <xf numFmtId="164" fontId="28" fillId="2" borderId="41" xfId="0" applyNumberFormat="1" applyFont="1" applyFill="1" applyBorder="1" applyAlignment="1">
      <alignment vertical="center"/>
    </xf>
    <xf numFmtId="49" fontId="18" fillId="10" borderId="41" xfId="1" applyNumberFormat="1" applyFont="1" applyFill="1" applyBorder="1" applyAlignment="1">
      <alignment horizontal="center" vertical="center" wrapText="1"/>
    </xf>
    <xf numFmtId="0" fontId="18" fillId="0" borderId="40" xfId="1" applyFont="1" applyAlignment="1">
      <alignment vertical="center" wrapText="1"/>
    </xf>
    <xf numFmtId="10" fontId="12" fillId="2" borderId="22" xfId="0" applyNumberFormat="1" applyFont="1" applyFill="1" applyBorder="1" applyAlignment="1">
      <alignment horizontal="center" vertical="center" wrapText="1"/>
    </xf>
    <xf numFmtId="4" fontId="20" fillId="11" borderId="55" xfId="1" applyNumberFormat="1" applyFont="1" applyFill="1" applyBorder="1" applyAlignment="1">
      <alignment horizontal="center" vertical="center" wrapText="1"/>
    </xf>
    <xf numFmtId="2" fontId="20" fillId="11" borderId="56" xfId="1" applyNumberFormat="1" applyFont="1" applyFill="1" applyBorder="1" applyAlignment="1">
      <alignment horizontal="center" vertical="center" wrapText="1"/>
    </xf>
    <xf numFmtId="49" fontId="12" fillId="5" borderId="25" xfId="0" applyNumberFormat="1" applyFont="1" applyFill="1" applyBorder="1" applyAlignment="1">
      <alignment horizontal="center" vertical="center" wrapText="1"/>
    </xf>
    <xf numFmtId="0" fontId="12" fillId="2" borderId="22" xfId="0" applyFont="1" applyFill="1" applyBorder="1" applyAlignment="1">
      <alignment vertical="center" wrapText="1"/>
    </xf>
    <xf numFmtId="4" fontId="11" fillId="2" borderId="22" xfId="0" applyNumberFormat="1" applyFont="1" applyFill="1" applyBorder="1" applyAlignment="1">
      <alignment horizontal="left" vertical="center"/>
    </xf>
    <xf numFmtId="49" fontId="11" fillId="14" borderId="22" xfId="0" applyNumberFormat="1" applyFont="1" applyFill="1" applyBorder="1" applyAlignment="1">
      <alignment horizontal="center" vertical="center" wrapText="1"/>
    </xf>
    <xf numFmtId="10" fontId="12" fillId="2" borderId="41" xfId="0" applyNumberFormat="1" applyFont="1" applyFill="1" applyBorder="1" applyAlignment="1">
      <alignment horizontal="center" vertical="center" wrapText="1"/>
    </xf>
    <xf numFmtId="49" fontId="18" fillId="10" borderId="74" xfId="1" applyNumberFormat="1" applyFont="1" applyFill="1" applyBorder="1" applyAlignment="1">
      <alignment horizontal="center" vertical="center" wrapText="1"/>
    </xf>
    <xf numFmtId="49" fontId="12" fillId="13" borderId="25" xfId="0" applyNumberFormat="1" applyFont="1" applyFill="1" applyBorder="1" applyAlignment="1">
      <alignment horizontal="center" vertical="center" wrapText="1"/>
    </xf>
    <xf numFmtId="2" fontId="11" fillId="2" borderId="28" xfId="0" applyNumberFormat="1" applyFont="1" applyFill="1" applyBorder="1" applyAlignment="1">
      <alignment horizontal="center" vertical="center" wrapText="1"/>
    </xf>
    <xf numFmtId="0" fontId="12" fillId="2" borderId="22" xfId="0" applyFont="1" applyFill="1" applyBorder="1" applyAlignment="1">
      <alignment vertical="center"/>
    </xf>
    <xf numFmtId="0" fontId="12" fillId="2" borderId="30" xfId="0" applyFont="1" applyFill="1" applyBorder="1" applyAlignment="1">
      <alignment horizontal="center" vertical="center" wrapText="1"/>
    </xf>
    <xf numFmtId="172" fontId="18" fillId="0" borderId="41" xfId="1" applyNumberFormat="1" applyFont="1" applyBorder="1" applyAlignment="1">
      <alignment horizontal="center" vertical="center" wrapText="1"/>
    </xf>
    <xf numFmtId="2" fontId="12" fillId="2" borderId="22" xfId="0" applyNumberFormat="1" applyFont="1" applyFill="1" applyBorder="1" applyAlignment="1">
      <alignment vertical="center" wrapText="1"/>
    </xf>
    <xf numFmtId="0" fontId="12" fillId="2" borderId="30" xfId="0" applyFont="1" applyFill="1" applyBorder="1" applyAlignment="1">
      <alignment vertical="center" wrapText="1"/>
    </xf>
    <xf numFmtId="4" fontId="9" fillId="0" borderId="0" xfId="0" applyNumberFormat="1" applyFont="1"/>
    <xf numFmtId="0" fontId="11" fillId="0" borderId="38" xfId="0" applyFont="1" applyBorder="1" applyAlignment="1">
      <alignment horizontal="center" vertical="center" wrapText="1"/>
    </xf>
    <xf numFmtId="1" fontId="12" fillId="2" borderId="38" xfId="0" applyNumberFormat="1" applyFont="1" applyFill="1" applyBorder="1" applyAlignment="1">
      <alignment horizontal="center" vertical="center" wrapText="1"/>
    </xf>
    <xf numFmtId="2" fontId="12" fillId="2" borderId="38" xfId="0" applyNumberFormat="1" applyFont="1" applyFill="1" applyBorder="1" applyAlignment="1">
      <alignment horizontal="center" vertical="center" wrapText="1"/>
    </xf>
    <xf numFmtId="4" fontId="12" fillId="2" borderId="30" xfId="0" applyNumberFormat="1" applyFont="1" applyFill="1" applyBorder="1" applyAlignment="1">
      <alignment horizontal="center" vertical="center" wrapText="1"/>
    </xf>
    <xf numFmtId="4" fontId="12" fillId="2" borderId="38" xfId="0" applyNumberFormat="1" applyFont="1" applyFill="1" applyBorder="1" applyAlignment="1">
      <alignment horizontal="center" vertical="center" wrapText="1"/>
    </xf>
    <xf numFmtId="169" fontId="12" fillId="2" borderId="38" xfId="0" applyNumberFormat="1" applyFont="1" applyFill="1" applyBorder="1" applyAlignment="1">
      <alignment horizontal="center" vertical="center" wrapText="1"/>
    </xf>
    <xf numFmtId="3" fontId="12" fillId="2" borderId="38" xfId="0" applyNumberFormat="1" applyFont="1" applyFill="1" applyBorder="1" applyAlignment="1">
      <alignment horizontal="center" vertical="center" wrapText="1"/>
    </xf>
    <xf numFmtId="9" fontId="12" fillId="2" borderId="38" xfId="0" applyNumberFormat="1" applyFont="1" applyFill="1" applyBorder="1" applyAlignment="1">
      <alignment horizontal="center" vertical="center" wrapText="1"/>
    </xf>
    <xf numFmtId="2" fontId="11" fillId="2" borderId="71" xfId="0" applyNumberFormat="1" applyFont="1" applyFill="1" applyBorder="1" applyAlignment="1">
      <alignment vertical="center" wrapText="1"/>
    </xf>
    <xf numFmtId="2" fontId="11" fillId="2" borderId="69" xfId="0" applyNumberFormat="1" applyFont="1" applyFill="1" applyBorder="1" applyAlignment="1">
      <alignment vertical="center" wrapText="1"/>
    </xf>
    <xf numFmtId="49" fontId="11" fillId="2" borderId="69" xfId="0" applyNumberFormat="1" applyFont="1" applyFill="1" applyBorder="1" applyAlignment="1">
      <alignment horizontal="center" vertical="center" wrapText="1"/>
    </xf>
    <xf numFmtId="2" fontId="11" fillId="2" borderId="69" xfId="0" applyNumberFormat="1" applyFont="1" applyFill="1" applyBorder="1" applyAlignment="1">
      <alignment horizontal="center" vertical="center" wrapText="1"/>
    </xf>
    <xf numFmtId="4" fontId="11" fillId="2" borderId="69" xfId="0" applyNumberFormat="1" applyFont="1" applyFill="1" applyBorder="1" applyAlignment="1">
      <alignment horizontal="center" vertical="center" wrapText="1"/>
    </xf>
    <xf numFmtId="3" fontId="11" fillId="2" borderId="69" xfId="0" applyNumberFormat="1" applyFont="1" applyFill="1" applyBorder="1" applyAlignment="1">
      <alignment horizontal="center" vertical="center" wrapText="1"/>
    </xf>
    <xf numFmtId="164" fontId="11" fillId="2" borderId="20" xfId="0" applyNumberFormat="1" applyFont="1" applyFill="1" applyBorder="1" applyAlignment="1">
      <alignment horizontal="center" vertical="center" wrapText="1"/>
    </xf>
    <xf numFmtId="164" fontId="11" fillId="2" borderId="20" xfId="0" applyNumberFormat="1" applyFont="1" applyFill="1" applyBorder="1" applyAlignment="1">
      <alignment horizontal="left" vertical="center"/>
    </xf>
    <xf numFmtId="164" fontId="28" fillId="2" borderId="21" xfId="0" applyNumberFormat="1" applyFont="1" applyFill="1" applyBorder="1" applyAlignment="1">
      <alignment horizontal="center" vertical="center"/>
    </xf>
    <xf numFmtId="164" fontId="28" fillId="2" borderId="47" xfId="0" applyNumberFormat="1" applyFont="1" applyFill="1" applyBorder="1" applyAlignment="1">
      <alignment horizontal="center" vertical="center"/>
    </xf>
    <xf numFmtId="4" fontId="28" fillId="2" borderId="47" xfId="0" applyNumberFormat="1" applyFont="1" applyFill="1" applyBorder="1" applyAlignment="1">
      <alignment horizontal="center" vertical="center"/>
    </xf>
    <xf numFmtId="1" fontId="28" fillId="2" borderId="47" xfId="0" applyNumberFormat="1" applyFont="1" applyFill="1" applyBorder="1" applyAlignment="1">
      <alignment horizontal="center" vertical="center"/>
    </xf>
    <xf numFmtId="164" fontId="28" fillId="2" borderId="47" xfId="0" applyNumberFormat="1" applyFont="1" applyFill="1" applyBorder="1" applyAlignment="1">
      <alignment vertical="center"/>
    </xf>
    <xf numFmtId="3" fontId="11" fillId="2" borderId="47" xfId="0" applyNumberFormat="1" applyFont="1" applyFill="1" applyBorder="1" applyAlignment="1">
      <alignment horizontal="center" vertical="center"/>
    </xf>
    <xf numFmtId="0" fontId="11" fillId="2" borderId="28" xfId="0" applyFont="1" applyFill="1" applyBorder="1" applyAlignment="1">
      <alignment horizontal="left" vertical="center" wrapText="1"/>
    </xf>
    <xf numFmtId="2" fontId="20" fillId="11" borderId="55" xfId="1" applyNumberFormat="1" applyFont="1" applyFill="1" applyBorder="1" applyAlignment="1">
      <alignment vertical="center" wrapText="1"/>
    </xf>
    <xf numFmtId="2" fontId="12" fillId="2" borderId="16" xfId="0" applyNumberFormat="1" applyFont="1" applyFill="1" applyBorder="1" applyAlignment="1">
      <alignment horizontal="center" vertical="center" wrapText="1"/>
    </xf>
    <xf numFmtId="2" fontId="20" fillId="11" borderId="57" xfId="1" applyNumberFormat="1" applyFont="1" applyFill="1" applyBorder="1" applyAlignment="1">
      <alignment vertical="center" wrapText="1"/>
    </xf>
    <xf numFmtId="2" fontId="12" fillId="2" borderId="26" xfId="0" applyNumberFormat="1" applyFont="1" applyFill="1" applyBorder="1" applyAlignment="1">
      <alignment horizontal="center" vertical="center" wrapText="1"/>
    </xf>
    <xf numFmtId="0" fontId="12" fillId="2" borderId="34" xfId="0" applyFont="1" applyFill="1" applyBorder="1" applyAlignment="1">
      <alignment horizontal="center" vertical="center" wrapText="1"/>
    </xf>
    <xf numFmtId="4" fontId="12" fillId="2" borderId="34" xfId="0" applyNumberFormat="1" applyFont="1" applyFill="1" applyBorder="1" applyAlignment="1">
      <alignment horizontal="center" vertical="center" wrapText="1"/>
    </xf>
    <xf numFmtId="2" fontId="12" fillId="0" borderId="38" xfId="0" applyNumberFormat="1" applyFont="1" applyBorder="1" applyAlignment="1">
      <alignment horizontal="center" vertical="center" wrapText="1"/>
    </xf>
    <xf numFmtId="3" fontId="20" fillId="11" borderId="57" xfId="1" applyNumberFormat="1" applyFont="1" applyFill="1" applyBorder="1" applyAlignment="1">
      <alignment horizontal="center" vertical="center" wrapText="1"/>
    </xf>
    <xf numFmtId="10" fontId="12" fillId="2" borderId="26" xfId="0" applyNumberFormat="1" applyFont="1" applyFill="1" applyBorder="1" applyAlignment="1">
      <alignment horizontal="center" vertical="center" wrapText="1"/>
    </xf>
    <xf numFmtId="164" fontId="21" fillId="11" borderId="41" xfId="2" applyNumberFormat="1" applyFont="1" applyFill="1" applyBorder="1" applyAlignment="1">
      <alignment horizontal="center" vertical="center"/>
    </xf>
    <xf numFmtId="4" fontId="21" fillId="11" borderId="41" xfId="2" applyNumberFormat="1" applyFont="1" applyFill="1" applyBorder="1" applyAlignment="1">
      <alignment horizontal="center" vertical="center"/>
    </xf>
    <xf numFmtId="1" fontId="21" fillId="11" borderId="41" xfId="2" applyNumberFormat="1" applyFont="1" applyFill="1" applyBorder="1" applyAlignment="1">
      <alignment horizontal="center" vertical="center"/>
    </xf>
    <xf numFmtId="4" fontId="20" fillId="11" borderId="49" xfId="1" applyNumberFormat="1" applyFont="1" applyFill="1" applyBorder="1" applyAlignment="1">
      <alignment horizontal="center" vertical="center" wrapText="1"/>
    </xf>
    <xf numFmtId="173" fontId="18" fillId="0" borderId="41" xfId="1" applyNumberFormat="1" applyFont="1" applyBorder="1" applyAlignment="1">
      <alignment horizontal="center" vertical="center" wrapText="1"/>
    </xf>
    <xf numFmtId="167" fontId="12" fillId="2" borderId="38" xfId="0" applyNumberFormat="1" applyFont="1" applyFill="1" applyBorder="1" applyAlignment="1">
      <alignment horizontal="center" vertical="center" wrapText="1"/>
    </xf>
    <xf numFmtId="0" fontId="9" fillId="11" borderId="0" xfId="0" applyFont="1" applyFill="1"/>
    <xf numFmtId="0" fontId="12" fillId="0" borderId="29" xfId="0" applyFont="1" applyBorder="1" applyAlignment="1">
      <alignment vertical="center" wrapText="1"/>
    </xf>
    <xf numFmtId="0" fontId="12" fillId="0" borderId="29" xfId="0" applyFont="1" applyBorder="1" applyAlignment="1">
      <alignment horizontal="center" vertical="center" wrapText="1"/>
    </xf>
    <xf numFmtId="49" fontId="12" fillId="0" borderId="29" xfId="0" applyNumberFormat="1" applyFont="1" applyBorder="1" applyAlignment="1">
      <alignment horizontal="center" vertical="center" wrapText="1"/>
    </xf>
    <xf numFmtId="49" fontId="11" fillId="0" borderId="22" xfId="0" applyNumberFormat="1" applyFont="1" applyBorder="1" applyAlignment="1">
      <alignment horizontal="center" vertical="center" wrapText="1"/>
    </xf>
    <xf numFmtId="4" fontId="12" fillId="0" borderId="29" xfId="0" applyNumberFormat="1" applyFont="1" applyBorder="1" applyAlignment="1">
      <alignment horizontal="center" vertical="center" wrapText="1"/>
    </xf>
    <xf numFmtId="4" fontId="12" fillId="0" borderId="22" xfId="0" applyNumberFormat="1" applyFont="1" applyBorder="1" applyAlignment="1">
      <alignment horizontal="center" vertical="center" wrapText="1"/>
    </xf>
    <xf numFmtId="167" fontId="12" fillId="0" borderId="22" xfId="0" applyNumberFormat="1" applyFont="1" applyBorder="1" applyAlignment="1">
      <alignment horizontal="center" vertical="center" wrapText="1"/>
    </xf>
    <xf numFmtId="169" fontId="12" fillId="0" borderId="22" xfId="0" applyNumberFormat="1" applyFont="1" applyBorder="1" applyAlignment="1">
      <alignment horizontal="center" vertical="center" wrapText="1"/>
    </xf>
    <xf numFmtId="37" fontId="12" fillId="0" borderId="22" xfId="0" applyNumberFormat="1" applyFont="1" applyBorder="1" applyAlignment="1">
      <alignment horizontal="center" vertical="center" wrapText="1"/>
    </xf>
    <xf numFmtId="9" fontId="12" fillId="0" borderId="22" xfId="0" applyNumberFormat="1" applyFont="1" applyBorder="1" applyAlignment="1">
      <alignment horizontal="center" vertical="center" wrapText="1"/>
    </xf>
    <xf numFmtId="37" fontId="11" fillId="0" borderId="22" xfId="0" applyNumberFormat="1" applyFont="1" applyBorder="1" applyAlignment="1">
      <alignment horizontal="center" vertical="center" wrapText="1"/>
    </xf>
    <xf numFmtId="3" fontId="12" fillId="0" borderId="22" xfId="0" applyNumberFormat="1" applyFont="1" applyBorder="1" applyAlignment="1">
      <alignment horizontal="center" vertical="center" wrapText="1"/>
    </xf>
    <xf numFmtId="2" fontId="12" fillId="0" borderId="22" xfId="0" applyNumberFormat="1" applyFont="1" applyBorder="1" applyAlignment="1">
      <alignment horizontal="center" vertical="center" wrapText="1"/>
    </xf>
    <xf numFmtId="0" fontId="11" fillId="12" borderId="22" xfId="0" quotePrefix="1" applyFont="1" applyFill="1" applyBorder="1" applyAlignment="1">
      <alignment horizontal="center" vertical="center" wrapText="1"/>
    </xf>
    <xf numFmtId="165" fontId="12" fillId="2" borderId="26" xfId="0" applyNumberFormat="1" applyFont="1" applyFill="1" applyBorder="1" applyAlignment="1">
      <alignment horizontal="center" vertical="center" wrapText="1"/>
    </xf>
    <xf numFmtId="49" fontId="28" fillId="2" borderId="41" xfId="0" applyNumberFormat="1" applyFont="1" applyFill="1" applyBorder="1" applyAlignment="1">
      <alignment horizontal="center" vertical="center"/>
    </xf>
    <xf numFmtId="49" fontId="11" fillId="8" borderId="36" xfId="0" applyNumberFormat="1" applyFont="1" applyFill="1" applyBorder="1" applyAlignment="1">
      <alignment horizontal="center" vertical="center" wrapText="1"/>
    </xf>
    <xf numFmtId="2" fontId="12" fillId="2" borderId="41" xfId="0" applyNumberFormat="1" applyFont="1" applyFill="1" applyBorder="1" applyAlignment="1">
      <alignment vertical="center" wrapText="1"/>
    </xf>
    <xf numFmtId="9" fontId="12" fillId="2" borderId="26" xfId="0" applyNumberFormat="1" applyFont="1" applyFill="1" applyBorder="1" applyAlignment="1">
      <alignment horizontal="center" vertical="center" wrapText="1"/>
    </xf>
    <xf numFmtId="2" fontId="11" fillId="2" borderId="41" xfId="0" applyNumberFormat="1" applyFont="1" applyFill="1" applyBorder="1" applyAlignment="1">
      <alignment vertical="center" wrapText="1"/>
    </xf>
    <xf numFmtId="49" fontId="11" fillId="2" borderId="41" xfId="0" applyNumberFormat="1" applyFont="1" applyFill="1" applyBorder="1" applyAlignment="1">
      <alignment horizontal="left" vertical="center" wrapText="1"/>
    </xf>
    <xf numFmtId="9" fontId="11" fillId="2" borderId="26" xfId="0" applyNumberFormat="1" applyFont="1" applyFill="1" applyBorder="1" applyAlignment="1">
      <alignment horizontal="center" vertical="center" wrapText="1"/>
    </xf>
    <xf numFmtId="168" fontId="11" fillId="2" borderId="41" xfId="0" applyNumberFormat="1" applyFont="1" applyFill="1" applyBorder="1" applyAlignment="1">
      <alignment horizontal="center" vertical="center" wrapText="1"/>
    </xf>
    <xf numFmtId="0" fontId="11" fillId="0" borderId="28" xfId="0" applyFont="1" applyBorder="1" applyAlignment="1">
      <alignment horizontal="center" vertical="center" wrapText="1"/>
    </xf>
    <xf numFmtId="49" fontId="28" fillId="2" borderId="22" xfId="0" applyNumberFormat="1" applyFont="1" applyFill="1" applyBorder="1" applyAlignment="1">
      <alignment horizontal="center" vertical="center"/>
    </xf>
    <xf numFmtId="0" fontId="11" fillId="16" borderId="22" xfId="0" applyFont="1" applyFill="1" applyBorder="1" applyAlignment="1">
      <alignment horizontal="center" vertical="center" wrapText="1"/>
    </xf>
    <xf numFmtId="49" fontId="11" fillId="8" borderId="25" xfId="0" applyNumberFormat="1" applyFont="1" applyFill="1" applyBorder="1" applyAlignment="1">
      <alignment horizontal="center" vertical="center" wrapText="1"/>
    </xf>
    <xf numFmtId="4" fontId="11" fillId="2" borderId="28" xfId="0" applyNumberFormat="1" applyFont="1" applyFill="1" applyBorder="1" applyAlignment="1">
      <alignment horizontal="center" vertical="center" wrapText="1"/>
    </xf>
    <xf numFmtId="166" fontId="11" fillId="2" borderId="25" xfId="0" applyNumberFormat="1" applyFont="1" applyFill="1" applyBorder="1" applyAlignment="1">
      <alignment horizontal="center" vertical="center" wrapText="1"/>
    </xf>
    <xf numFmtId="165" fontId="11" fillId="2" borderId="23" xfId="0" applyNumberFormat="1" applyFont="1" applyFill="1" applyBorder="1" applyAlignment="1">
      <alignment horizontal="center" vertical="center" wrapText="1"/>
    </xf>
    <xf numFmtId="49" fontId="12" fillId="2" borderId="22" xfId="0" applyNumberFormat="1" applyFont="1" applyFill="1" applyBorder="1" applyAlignment="1">
      <alignment horizontal="left" vertical="center" wrapText="1"/>
    </xf>
    <xf numFmtId="49" fontId="28" fillId="2" borderId="40" xfId="0" applyNumberFormat="1" applyFont="1" applyFill="1" applyBorder="1" applyAlignment="1">
      <alignment horizontal="center" vertical="center"/>
    </xf>
    <xf numFmtId="2" fontId="11" fillId="2" borderId="26" xfId="0" applyNumberFormat="1" applyFont="1" applyFill="1" applyBorder="1" applyAlignment="1">
      <alignment horizontal="center" vertical="center" wrapText="1"/>
    </xf>
    <xf numFmtId="2" fontId="12" fillId="2" borderId="28" xfId="0" applyNumberFormat="1" applyFont="1" applyFill="1" applyBorder="1" applyAlignment="1">
      <alignment vertical="center" wrapText="1"/>
    </xf>
    <xf numFmtId="49" fontId="12" fillId="2" borderId="34" xfId="0" applyNumberFormat="1" applyFont="1" applyFill="1" applyBorder="1" applyAlignment="1">
      <alignment horizontal="center" vertical="center" wrapText="1"/>
    </xf>
    <xf numFmtId="166" fontId="12" fillId="2" borderId="34" xfId="0" applyNumberFormat="1" applyFont="1" applyFill="1" applyBorder="1" applyAlignment="1">
      <alignment horizontal="center" vertical="center" wrapText="1"/>
    </xf>
    <xf numFmtId="4" fontId="12" fillId="2" borderId="14" xfId="0" applyNumberFormat="1" applyFont="1" applyFill="1" applyBorder="1" applyAlignment="1">
      <alignment horizontal="center" vertical="center" wrapText="1"/>
    </xf>
    <xf numFmtId="166" fontId="12" fillId="2" borderId="19" xfId="0" applyNumberFormat="1" applyFont="1" applyFill="1" applyBorder="1" applyAlignment="1">
      <alignment horizontal="center" vertical="center" wrapText="1"/>
    </xf>
    <xf numFmtId="166" fontId="12" fillId="2" borderId="20" xfId="0" applyNumberFormat="1" applyFont="1" applyFill="1" applyBorder="1" applyAlignment="1">
      <alignment horizontal="center" vertical="center" wrapText="1"/>
    </xf>
    <xf numFmtId="165" fontId="12" fillId="2" borderId="24" xfId="0" applyNumberFormat="1" applyFont="1" applyFill="1" applyBorder="1" applyAlignment="1">
      <alignment horizontal="center" vertical="center" wrapText="1"/>
    </xf>
    <xf numFmtId="9" fontId="12" fillId="2" borderId="35" xfId="0" applyNumberFormat="1" applyFont="1" applyFill="1" applyBorder="1" applyAlignment="1">
      <alignment horizontal="center" vertical="center" wrapText="1"/>
    </xf>
    <xf numFmtId="9" fontId="12" fillId="2" borderId="41" xfId="0" applyNumberFormat="1" applyFont="1" applyFill="1" applyBorder="1" applyAlignment="1">
      <alignment horizontal="center" vertical="center" wrapText="1"/>
    </xf>
    <xf numFmtId="2" fontId="18" fillId="11" borderId="59" xfId="1" applyNumberFormat="1" applyFont="1" applyFill="1" applyBorder="1" applyAlignment="1">
      <alignment horizontal="center" vertical="center" wrapText="1"/>
    </xf>
    <xf numFmtId="0" fontId="2" fillId="0" borderId="19" xfId="0" applyFont="1" applyBorder="1"/>
    <xf numFmtId="2" fontId="18" fillId="11" borderId="41" xfId="1" applyNumberFormat="1" applyFont="1" applyFill="1" applyBorder="1" applyAlignment="1">
      <alignment horizontal="center" vertical="center" wrapText="1"/>
    </xf>
    <xf numFmtId="3" fontId="18" fillId="11" borderId="41" xfId="1" applyNumberFormat="1" applyFont="1" applyFill="1" applyBorder="1" applyAlignment="1">
      <alignment horizontal="center" vertical="center" wrapText="1"/>
    </xf>
    <xf numFmtId="49" fontId="20" fillId="11" borderId="59" xfId="1" applyNumberFormat="1" applyFont="1" applyFill="1" applyBorder="1" applyAlignment="1">
      <alignment horizontal="center" vertical="center" wrapText="1"/>
    </xf>
    <xf numFmtId="49" fontId="20" fillId="11" borderId="49" xfId="1" applyNumberFormat="1" applyFont="1" applyFill="1" applyBorder="1" applyAlignment="1">
      <alignment horizontal="center" vertical="center" wrapText="1"/>
    </xf>
    <xf numFmtId="166" fontId="20" fillId="11" borderId="59" xfId="1" applyNumberFormat="1" applyFont="1" applyFill="1" applyBorder="1" applyAlignment="1">
      <alignment horizontal="center" vertical="center" wrapText="1"/>
    </xf>
    <xf numFmtId="166" fontId="20" fillId="11" borderId="49" xfId="1" applyNumberFormat="1" applyFont="1" applyFill="1" applyBorder="1" applyAlignment="1">
      <alignment horizontal="center" vertical="center" wrapText="1"/>
    </xf>
    <xf numFmtId="4" fontId="20" fillId="11" borderId="62" xfId="1" applyNumberFormat="1" applyFont="1" applyFill="1" applyBorder="1" applyAlignment="1">
      <alignment horizontal="center" vertical="center" wrapText="1"/>
    </xf>
    <xf numFmtId="0" fontId="2" fillId="0" borderId="20" xfId="0" applyFont="1" applyBorder="1"/>
    <xf numFmtId="2" fontId="11" fillId="2" borderId="41" xfId="0" applyNumberFormat="1" applyFont="1" applyFill="1" applyBorder="1" applyAlignment="1">
      <alignment horizontal="center" vertical="center" wrapText="1"/>
    </xf>
    <xf numFmtId="0" fontId="2" fillId="0" borderId="21" xfId="0" applyFont="1" applyBorder="1"/>
    <xf numFmtId="49" fontId="11" fillId="2" borderId="41" xfId="0" applyNumberFormat="1" applyFont="1" applyFill="1" applyBorder="1" applyAlignment="1">
      <alignment horizontal="center" vertical="center" wrapText="1"/>
    </xf>
    <xf numFmtId="49" fontId="20" fillId="11" borderId="41" xfId="1" applyNumberFormat="1" applyFont="1" applyFill="1" applyBorder="1" applyAlignment="1">
      <alignment horizontal="center" vertical="center" wrapText="1"/>
    </xf>
    <xf numFmtId="166" fontId="20" fillId="11" borderId="41" xfId="1" applyNumberFormat="1" applyFont="1" applyFill="1" applyBorder="1" applyAlignment="1">
      <alignment horizontal="center" vertical="center" wrapText="1"/>
    </xf>
    <xf numFmtId="4" fontId="20" fillId="11" borderId="41" xfId="1" applyNumberFormat="1" applyFont="1" applyFill="1" applyBorder="1" applyAlignment="1">
      <alignment horizontal="center" vertical="center" wrapText="1"/>
    </xf>
    <xf numFmtId="49" fontId="11" fillId="2" borderId="34" xfId="0" applyNumberFormat="1" applyFont="1" applyFill="1" applyBorder="1" applyAlignment="1">
      <alignment horizontal="center" vertical="center" wrapText="1"/>
    </xf>
    <xf numFmtId="0" fontId="20" fillId="11" borderId="59" xfId="1" applyFont="1" applyFill="1" applyBorder="1" applyAlignment="1">
      <alignment horizontal="center" vertical="center" wrapText="1"/>
    </xf>
    <xf numFmtId="2" fontId="20" fillId="11" borderId="41" xfId="1" applyNumberFormat="1" applyFont="1" applyFill="1" applyBorder="1" applyAlignment="1">
      <alignment horizontal="center" vertical="center" wrapText="1"/>
    </xf>
    <xf numFmtId="0" fontId="11" fillId="2" borderId="41" xfId="0" applyFont="1" applyFill="1" applyBorder="1" applyAlignment="1">
      <alignment horizontal="center" vertical="center" wrapText="1"/>
    </xf>
    <xf numFmtId="2" fontId="11" fillId="2" borderId="41" xfId="0" applyNumberFormat="1" applyFont="1" applyFill="1" applyBorder="1" applyAlignment="1">
      <alignment horizontal="center" vertical="center" wrapText="1"/>
    </xf>
    <xf numFmtId="165" fontId="11" fillId="2" borderId="41" xfId="0" applyNumberFormat="1" applyFont="1" applyFill="1" applyBorder="1" applyAlignment="1">
      <alignment horizontal="center" vertical="center" wrapText="1"/>
    </xf>
    <xf numFmtId="49" fontId="11" fillId="2" borderId="41" xfId="0" applyNumberFormat="1" applyFont="1" applyFill="1" applyBorder="1" applyAlignment="1">
      <alignment horizontal="center" vertical="center" wrapText="1"/>
    </xf>
    <xf numFmtId="2" fontId="11" fillId="2" borderId="27" xfId="0" applyNumberFormat="1" applyFont="1" applyFill="1" applyBorder="1" applyAlignment="1">
      <alignment horizontal="center" vertical="center" wrapText="1"/>
    </xf>
    <xf numFmtId="3" fontId="11" fillId="2" borderId="6" xfId="0" applyNumberFormat="1" applyFont="1" applyFill="1" applyBorder="1" applyAlignment="1">
      <alignment horizontal="center" vertical="center" wrapText="1"/>
    </xf>
    <xf numFmtId="2" fontId="11" fillId="2" borderId="12" xfId="0" applyNumberFormat="1" applyFont="1" applyFill="1" applyBorder="1" applyAlignment="1">
      <alignment horizontal="center" vertical="center" wrapText="1"/>
    </xf>
    <xf numFmtId="2" fontId="11" fillId="2" borderId="6" xfId="0" applyNumberFormat="1" applyFont="1" applyFill="1" applyBorder="1" applyAlignment="1">
      <alignment horizontal="center" vertical="center" wrapText="1"/>
    </xf>
    <xf numFmtId="49" fontId="11" fillId="2" borderId="15" xfId="0" applyNumberFormat="1" applyFont="1" applyFill="1" applyBorder="1" applyAlignment="1">
      <alignment horizontal="center" vertical="center" wrapText="1"/>
    </xf>
    <xf numFmtId="165" fontId="11" fillId="2" borderId="6" xfId="0" applyNumberFormat="1" applyFont="1" applyFill="1" applyBorder="1" applyAlignment="1">
      <alignment horizontal="center" vertical="center" wrapText="1"/>
    </xf>
    <xf numFmtId="3" fontId="11" fillId="2" borderId="41" xfId="0" applyNumberFormat="1" applyFont="1" applyFill="1" applyBorder="1" applyAlignment="1">
      <alignment horizontal="center" vertical="center" wrapText="1"/>
    </xf>
    <xf numFmtId="49" fontId="11" fillId="2" borderId="5" xfId="0" applyNumberFormat="1" applyFont="1" applyFill="1" applyBorder="1" applyAlignment="1">
      <alignment horizontal="center" vertical="center" wrapText="1"/>
    </xf>
    <xf numFmtId="166" fontId="11" fillId="2" borderId="41" xfId="0" applyNumberFormat="1" applyFont="1" applyFill="1" applyBorder="1" applyAlignment="1">
      <alignment horizontal="center" vertical="center" wrapText="1"/>
    </xf>
    <xf numFmtId="167" fontId="11" fillId="2" borderId="41" xfId="0" applyNumberFormat="1" applyFont="1" applyFill="1" applyBorder="1" applyAlignment="1">
      <alignment horizontal="center" vertical="center" wrapText="1"/>
    </xf>
    <xf numFmtId="0" fontId="11" fillId="2" borderId="41" xfId="0" applyFont="1" applyFill="1" applyBorder="1" applyAlignment="1">
      <alignment horizontal="center" vertical="center" wrapText="1"/>
    </xf>
    <xf numFmtId="2" fontId="11" fillId="2" borderId="28" xfId="0" applyNumberFormat="1" applyFont="1" applyFill="1" applyBorder="1" applyAlignment="1">
      <alignment horizontal="center" vertical="center" wrapText="1"/>
    </xf>
    <xf numFmtId="3" fontId="9" fillId="0" borderId="0" xfId="0" applyNumberFormat="1" applyFont="1"/>
    <xf numFmtId="3" fontId="11" fillId="2" borderId="33" xfId="0" applyNumberFormat="1" applyFont="1" applyFill="1" applyBorder="1" applyAlignment="1">
      <alignment horizontal="center" vertical="center" wrapText="1"/>
    </xf>
    <xf numFmtId="0" fontId="33" fillId="0" borderId="0" xfId="0" applyFont="1"/>
    <xf numFmtId="2" fontId="11" fillId="2" borderId="38" xfId="0" applyNumberFormat="1" applyFont="1" applyFill="1" applyBorder="1" applyAlignment="1">
      <alignment horizontal="center" vertical="center" wrapText="1"/>
    </xf>
    <xf numFmtId="49" fontId="11" fillId="2" borderId="28" xfId="0" applyNumberFormat="1" applyFont="1" applyFill="1" applyBorder="1" applyAlignment="1">
      <alignment horizontal="center" vertical="center" wrapText="1"/>
    </xf>
    <xf numFmtId="49" fontId="11" fillId="2" borderId="38" xfId="0" applyNumberFormat="1" applyFont="1" applyFill="1" applyBorder="1" applyAlignment="1">
      <alignment horizontal="center" vertical="center" wrapText="1"/>
    </xf>
    <xf numFmtId="166" fontId="11" fillId="2" borderId="38" xfId="0" applyNumberFormat="1" applyFont="1" applyFill="1" applyBorder="1" applyAlignment="1">
      <alignment horizontal="center" vertical="center" wrapText="1"/>
    </xf>
    <xf numFmtId="3" fontId="11" fillId="2" borderId="38" xfId="0" applyNumberFormat="1" applyFont="1" applyFill="1" applyBorder="1" applyAlignment="1">
      <alignment horizontal="center" vertical="center" wrapText="1"/>
    </xf>
    <xf numFmtId="0" fontId="11" fillId="0" borderId="38" xfId="0" applyFont="1" applyBorder="1" applyAlignment="1">
      <alignment horizontal="center" vertical="center" wrapText="1"/>
    </xf>
    <xf numFmtId="0" fontId="11" fillId="2" borderId="38" xfId="0" applyFont="1" applyFill="1" applyBorder="1" applyAlignment="1">
      <alignment horizontal="center" vertical="center" wrapText="1"/>
    </xf>
    <xf numFmtId="0" fontId="31" fillId="2" borderId="38" xfId="0" applyFont="1" applyFill="1" applyBorder="1" applyAlignment="1">
      <alignment horizontal="center" vertical="center"/>
    </xf>
    <xf numFmtId="167" fontId="11" fillId="2" borderId="28" xfId="0" applyNumberFormat="1" applyFont="1" applyFill="1" applyBorder="1" applyAlignment="1">
      <alignment horizontal="center" vertical="center" wrapText="1"/>
    </xf>
    <xf numFmtId="168" fontId="11" fillId="2" borderId="38" xfId="0" applyNumberFormat="1" applyFont="1" applyFill="1" applyBorder="1" applyAlignment="1">
      <alignment horizontal="center" vertical="center" wrapText="1"/>
    </xf>
    <xf numFmtId="49" fontId="4" fillId="17" borderId="22" xfId="4" applyNumberFormat="1" applyFont="1" applyFill="1" applyBorder="1" applyAlignment="1">
      <alignment horizontal="center" vertical="center" wrapText="1"/>
    </xf>
    <xf numFmtId="0" fontId="6" fillId="18" borderId="22" xfId="4" applyFont="1" applyFill="1" applyBorder="1" applyAlignment="1">
      <alignment vertical="center" wrapText="1"/>
    </xf>
    <xf numFmtId="0" fontId="34" fillId="18" borderId="22" xfId="4" applyFont="1" applyFill="1" applyBorder="1" applyAlignment="1">
      <alignment vertical="center" wrapText="1"/>
    </xf>
    <xf numFmtId="0" fontId="6" fillId="18" borderId="22" xfId="4" applyFont="1" applyFill="1" applyBorder="1" applyAlignment="1">
      <alignment horizontal="center" vertical="center" wrapText="1"/>
    </xf>
    <xf numFmtId="1" fontId="6" fillId="18" borderId="22" xfId="4" applyNumberFormat="1" applyFont="1" applyFill="1" applyBorder="1" applyAlignment="1">
      <alignment horizontal="center" vertical="center" wrapText="1"/>
    </xf>
    <xf numFmtId="49" fontId="4" fillId="18" borderId="22" xfId="4" applyNumberFormat="1" applyFont="1" applyFill="1" applyBorder="1" applyAlignment="1">
      <alignment horizontal="center" vertical="center" wrapText="1"/>
    </xf>
    <xf numFmtId="3" fontId="4" fillId="18" borderId="22" xfId="4" applyNumberFormat="1" applyFont="1" applyFill="1" applyBorder="1" applyAlignment="1">
      <alignment horizontal="center" vertical="center" wrapText="1"/>
    </xf>
    <xf numFmtId="2" fontId="6" fillId="18" borderId="22" xfId="4" applyNumberFormat="1" applyFont="1" applyFill="1" applyBorder="1" applyAlignment="1">
      <alignment horizontal="center" vertical="center" wrapText="1"/>
    </xf>
    <xf numFmtId="4" fontId="6" fillId="18" borderId="22" xfId="4" applyNumberFormat="1" applyFont="1" applyFill="1" applyBorder="1" applyAlignment="1">
      <alignment horizontal="center" vertical="center" wrapText="1"/>
    </xf>
    <xf numFmtId="169" fontId="6" fillId="18" borderId="22" xfId="4" applyNumberFormat="1" applyFont="1" applyFill="1" applyBorder="1" applyAlignment="1">
      <alignment horizontal="center" vertical="center" wrapText="1"/>
    </xf>
    <xf numFmtId="3" fontId="6" fillId="18" borderId="22" xfId="4" applyNumberFormat="1" applyFont="1" applyFill="1" applyBorder="1" applyAlignment="1">
      <alignment horizontal="center" vertical="center" wrapText="1"/>
    </xf>
    <xf numFmtId="9" fontId="6" fillId="18" borderId="22" xfId="4" applyNumberFormat="1" applyFont="1" applyFill="1" applyBorder="1" applyAlignment="1">
      <alignment horizontal="center" vertical="center" wrapText="1"/>
    </xf>
    <xf numFmtId="49" fontId="6" fillId="18" borderId="22" xfId="4" applyNumberFormat="1" applyFont="1" applyFill="1" applyBorder="1" applyAlignment="1">
      <alignment horizontal="center" vertical="center" wrapText="1"/>
    </xf>
    <xf numFmtId="164" fontId="28" fillId="2" borderId="33" xfId="0" applyNumberFormat="1" applyFont="1" applyFill="1" applyBorder="1" applyAlignment="1">
      <alignment horizontal="center" vertical="center"/>
    </xf>
    <xf numFmtId="4" fontId="28" fillId="2" borderId="33" xfId="0" applyNumberFormat="1" applyFont="1" applyFill="1" applyBorder="1" applyAlignment="1">
      <alignment horizontal="center" vertical="center"/>
    </xf>
    <xf numFmtId="1" fontId="28" fillId="2" borderId="33" xfId="0" applyNumberFormat="1" applyFont="1" applyFill="1" applyBorder="1" applyAlignment="1">
      <alignment horizontal="center" vertical="center"/>
    </xf>
    <xf numFmtId="164" fontId="28" fillId="2" borderId="33" xfId="0" applyNumberFormat="1" applyFont="1" applyFill="1" applyBorder="1" applyAlignment="1">
      <alignment vertical="center"/>
    </xf>
    <xf numFmtId="3" fontId="11" fillId="2" borderId="33" xfId="0" applyNumberFormat="1" applyFont="1" applyFill="1" applyBorder="1" applyAlignment="1">
      <alignment horizontal="center" vertical="center"/>
    </xf>
    <xf numFmtId="164" fontId="11" fillId="2" borderId="28" xfId="0" applyNumberFormat="1" applyFont="1" applyFill="1" applyBorder="1" applyAlignment="1">
      <alignment horizontal="left" vertical="center"/>
    </xf>
    <xf numFmtId="164" fontId="11" fillId="2" borderId="33" xfId="0" applyNumberFormat="1" applyFont="1" applyFill="1" applyBorder="1" applyAlignment="1">
      <alignment horizontal="left" vertical="center"/>
    </xf>
    <xf numFmtId="164" fontId="11" fillId="2" borderId="26" xfId="0" applyNumberFormat="1" applyFont="1" applyFill="1" applyBorder="1" applyAlignment="1">
      <alignment horizontal="left" vertical="center"/>
    </xf>
    <xf numFmtId="164" fontId="1" fillId="2" borderId="40" xfId="0" applyNumberFormat="1" applyFont="1" applyFill="1" applyBorder="1" applyAlignment="1">
      <alignment vertical="center" wrapText="1"/>
    </xf>
    <xf numFmtId="164" fontId="3" fillId="2" borderId="40" xfId="0" applyNumberFormat="1" applyFont="1" applyFill="1" applyBorder="1" applyAlignment="1">
      <alignment vertical="center" wrapText="1"/>
    </xf>
    <xf numFmtId="49" fontId="11" fillId="2" borderId="80" xfId="0" applyNumberFormat="1" applyFont="1" applyFill="1" applyBorder="1" applyAlignment="1">
      <alignment horizontal="center" vertical="center" wrapText="1"/>
    </xf>
    <xf numFmtId="2" fontId="11" fillId="2" borderId="59" xfId="0" applyNumberFormat="1" applyFont="1" applyFill="1" applyBorder="1" applyAlignment="1">
      <alignment horizontal="center" vertical="center" wrapText="1"/>
    </xf>
    <xf numFmtId="2" fontId="11" fillId="2" borderId="55" xfId="0" applyNumberFormat="1" applyFont="1" applyFill="1" applyBorder="1" applyAlignment="1">
      <alignment horizontal="center" vertical="center" wrapText="1"/>
    </xf>
    <xf numFmtId="2" fontId="11" fillId="2" borderId="52" xfId="0" applyNumberFormat="1" applyFont="1" applyFill="1" applyBorder="1" applyAlignment="1">
      <alignment horizontal="center" vertical="center" wrapText="1"/>
    </xf>
    <xf numFmtId="2" fontId="11" fillId="2" borderId="57" xfId="0" applyNumberFormat="1" applyFont="1" applyFill="1" applyBorder="1" applyAlignment="1">
      <alignment horizontal="center" vertical="center" wrapText="1"/>
    </xf>
    <xf numFmtId="165" fontId="11" fillId="2" borderId="59" xfId="0" applyNumberFormat="1" applyFont="1" applyFill="1" applyBorder="1" applyAlignment="1">
      <alignment horizontal="center" vertical="center" wrapText="1"/>
    </xf>
    <xf numFmtId="49" fontId="11" fillId="2" borderId="81" xfId="0" applyNumberFormat="1" applyFont="1" applyFill="1" applyBorder="1" applyAlignment="1">
      <alignment horizontal="center" vertical="center" wrapText="1"/>
    </xf>
    <xf numFmtId="2" fontId="11" fillId="2" borderId="82" xfId="0" applyNumberFormat="1" applyFont="1" applyFill="1" applyBorder="1" applyAlignment="1">
      <alignment horizontal="center" vertical="center" wrapText="1"/>
    </xf>
    <xf numFmtId="49" fontId="11" fillId="2" borderId="59" xfId="0" applyNumberFormat="1" applyFont="1" applyFill="1" applyBorder="1" applyAlignment="1">
      <alignment horizontal="center" vertical="center" wrapText="1"/>
    </xf>
    <xf numFmtId="165" fontId="11" fillId="2" borderId="82" xfId="0" applyNumberFormat="1" applyFont="1" applyFill="1" applyBorder="1" applyAlignment="1">
      <alignment horizontal="center" vertical="center" wrapText="1"/>
    </xf>
    <xf numFmtId="49" fontId="11" fillId="2" borderId="83" xfId="0" applyNumberFormat="1" applyFont="1" applyFill="1" applyBorder="1" applyAlignment="1">
      <alignment horizontal="center" vertical="center" wrapText="1"/>
    </xf>
    <xf numFmtId="2" fontId="11" fillId="2" borderId="49" xfId="0" applyNumberFormat="1" applyFont="1" applyFill="1" applyBorder="1" applyAlignment="1">
      <alignment horizontal="center" vertical="center" wrapText="1"/>
    </xf>
    <xf numFmtId="49" fontId="11" fillId="2" borderId="49" xfId="0" applyNumberFormat="1" applyFont="1" applyFill="1" applyBorder="1" applyAlignment="1">
      <alignment horizontal="center" vertical="center" wrapText="1"/>
    </xf>
    <xf numFmtId="165" fontId="11" fillId="2" borderId="49" xfId="0" applyNumberFormat="1" applyFont="1" applyFill="1" applyBorder="1" applyAlignment="1">
      <alignment horizontal="center" vertical="center" wrapText="1"/>
    </xf>
    <xf numFmtId="0" fontId="4" fillId="0" borderId="22" xfId="4" applyFont="1" applyBorder="1" applyAlignment="1">
      <alignment horizontal="center" vertical="center" wrapText="1"/>
    </xf>
    <xf numFmtId="0" fontId="4" fillId="18" borderId="22" xfId="4" applyFont="1" applyFill="1" applyBorder="1" applyAlignment="1">
      <alignment horizontal="center" vertical="center" wrapText="1"/>
    </xf>
    <xf numFmtId="4" fontId="4" fillId="18" borderId="22" xfId="4" applyNumberFormat="1" applyFont="1" applyFill="1" applyBorder="1" applyAlignment="1">
      <alignment horizontal="center" vertical="center" wrapText="1"/>
    </xf>
    <xf numFmtId="167" fontId="4" fillId="18" borderId="22" xfId="4" applyNumberFormat="1" applyFont="1" applyFill="1" applyBorder="1" applyAlignment="1">
      <alignment horizontal="center" vertical="center" wrapText="1"/>
    </xf>
    <xf numFmtId="168" fontId="4" fillId="18" borderId="22" xfId="4" applyNumberFormat="1" applyFont="1" applyFill="1" applyBorder="1" applyAlignment="1">
      <alignment horizontal="center" vertical="center" wrapText="1"/>
    </xf>
    <xf numFmtId="37" fontId="6" fillId="18" borderId="22" xfId="4" applyNumberFormat="1" applyFont="1" applyFill="1" applyBorder="1" applyAlignment="1">
      <alignment horizontal="center" vertical="center" wrapText="1"/>
    </xf>
    <xf numFmtId="37" fontId="4" fillId="18" borderId="22" xfId="4" applyNumberFormat="1" applyFont="1" applyFill="1" applyBorder="1" applyAlignment="1">
      <alignment horizontal="center" vertical="center" wrapText="1"/>
    </xf>
    <xf numFmtId="49" fontId="4" fillId="17" borderId="22" xfId="4" quotePrefix="1" applyNumberFormat="1" applyFont="1" applyFill="1" applyBorder="1" applyAlignment="1">
      <alignment horizontal="center" vertical="center" wrapText="1"/>
    </xf>
    <xf numFmtId="0" fontId="6" fillId="18" borderId="29" xfId="4" applyFont="1" applyFill="1" applyBorder="1" applyAlignment="1">
      <alignment vertical="center" wrapText="1"/>
    </xf>
    <xf numFmtId="0" fontId="6" fillId="18" borderId="29" xfId="4" applyFont="1" applyFill="1" applyBorder="1" applyAlignment="1">
      <alignment horizontal="center" vertical="center" wrapText="1"/>
    </xf>
    <xf numFmtId="1" fontId="6" fillId="18" borderId="29" xfId="4" applyNumberFormat="1" applyFont="1" applyFill="1" applyBorder="1" applyAlignment="1">
      <alignment horizontal="center" vertical="center" wrapText="1"/>
    </xf>
    <xf numFmtId="4" fontId="6" fillId="18" borderId="29" xfId="4" applyNumberFormat="1" applyFont="1" applyFill="1" applyBorder="1" applyAlignment="1">
      <alignment horizontal="center" vertical="center" wrapText="1"/>
    </xf>
    <xf numFmtId="49" fontId="6" fillId="18" borderId="29" xfId="4" applyNumberFormat="1" applyFont="1" applyFill="1" applyBorder="1" applyAlignment="1">
      <alignment horizontal="center" vertical="center" wrapText="1"/>
    </xf>
    <xf numFmtId="0" fontId="6" fillId="18" borderId="30" xfId="4" applyFont="1" applyFill="1" applyBorder="1" applyAlignment="1">
      <alignment vertical="center" wrapText="1"/>
    </xf>
    <xf numFmtId="0" fontId="6" fillId="18" borderId="30" xfId="4" applyFont="1" applyFill="1" applyBorder="1" applyAlignment="1">
      <alignment horizontal="center" vertical="center" wrapText="1"/>
    </xf>
    <xf numFmtId="1" fontId="6" fillId="18" borderId="30" xfId="4" applyNumberFormat="1" applyFont="1" applyFill="1" applyBorder="1" applyAlignment="1">
      <alignment horizontal="center" vertical="center" wrapText="1"/>
    </xf>
    <xf numFmtId="4" fontId="6" fillId="18" borderId="30" xfId="4" applyNumberFormat="1" applyFont="1" applyFill="1" applyBorder="1" applyAlignment="1">
      <alignment horizontal="center" vertical="center" wrapText="1"/>
    </xf>
    <xf numFmtId="0" fontId="6" fillId="18" borderId="31" xfId="4" applyFont="1" applyFill="1" applyBorder="1" applyAlignment="1">
      <alignment vertical="center" wrapText="1"/>
    </xf>
    <xf numFmtId="49" fontId="6" fillId="18" borderId="31" xfId="4" applyNumberFormat="1" applyFont="1" applyFill="1" applyBorder="1" applyAlignment="1">
      <alignment horizontal="center" vertical="center" wrapText="1"/>
    </xf>
    <xf numFmtId="4" fontId="6" fillId="18" borderId="31" xfId="4" applyNumberFormat="1" applyFont="1" applyFill="1" applyBorder="1" applyAlignment="1">
      <alignment horizontal="center" vertical="center" wrapText="1"/>
    </xf>
    <xf numFmtId="0" fontId="6" fillId="18" borderId="31" xfId="4" applyFont="1" applyFill="1" applyBorder="1" applyAlignment="1">
      <alignment horizontal="center" vertical="center" wrapText="1"/>
    </xf>
    <xf numFmtId="49" fontId="11" fillId="17" borderId="22" xfId="4" applyNumberFormat="1" applyFont="1" applyFill="1" applyBorder="1" applyAlignment="1">
      <alignment horizontal="center" vertical="center" wrapText="1"/>
    </xf>
    <xf numFmtId="0" fontId="12" fillId="18" borderId="29" xfId="4" applyFont="1" applyFill="1" applyBorder="1" applyAlignment="1">
      <alignment vertical="center" wrapText="1"/>
    </xf>
    <xf numFmtId="0" fontId="12" fillId="18" borderId="29" xfId="4" applyFont="1" applyFill="1" applyBorder="1" applyAlignment="1">
      <alignment horizontal="center" vertical="center" wrapText="1"/>
    </xf>
    <xf numFmtId="49" fontId="12" fillId="18" borderId="29" xfId="4" applyNumberFormat="1" applyFont="1" applyFill="1" applyBorder="1" applyAlignment="1">
      <alignment horizontal="center" vertical="center" wrapText="1"/>
    </xf>
    <xf numFmtId="49" fontId="11" fillId="18" borderId="22" xfId="4" applyNumberFormat="1" applyFont="1" applyFill="1" applyBorder="1" applyAlignment="1">
      <alignment horizontal="center" vertical="center" wrapText="1"/>
    </xf>
    <xf numFmtId="1" fontId="12" fillId="18" borderId="22" xfId="4" applyNumberFormat="1" applyFont="1" applyFill="1" applyBorder="1" applyAlignment="1">
      <alignment horizontal="center" vertical="center" wrapText="1"/>
    </xf>
    <xf numFmtId="2" fontId="12" fillId="18" borderId="22" xfId="4" applyNumberFormat="1" applyFont="1" applyFill="1" applyBorder="1" applyAlignment="1">
      <alignment horizontal="center" vertical="center" wrapText="1"/>
    </xf>
    <xf numFmtId="4" fontId="12" fillId="18" borderId="29" xfId="4" applyNumberFormat="1" applyFont="1" applyFill="1" applyBorder="1" applyAlignment="1">
      <alignment horizontal="center" vertical="center" wrapText="1"/>
    </xf>
    <xf numFmtId="4" fontId="12" fillId="18" borderId="22" xfId="4" applyNumberFormat="1" applyFont="1" applyFill="1" applyBorder="1" applyAlignment="1">
      <alignment horizontal="center" vertical="center" wrapText="1"/>
    </xf>
    <xf numFmtId="169" fontId="12" fillId="18" borderId="22" xfId="4" applyNumberFormat="1" applyFont="1" applyFill="1" applyBorder="1" applyAlignment="1">
      <alignment horizontal="center" vertical="center" wrapText="1"/>
    </xf>
    <xf numFmtId="3" fontId="12" fillId="18" borderId="22" xfId="4" applyNumberFormat="1" applyFont="1" applyFill="1" applyBorder="1" applyAlignment="1">
      <alignment horizontal="center" vertical="center" wrapText="1"/>
    </xf>
    <xf numFmtId="9" fontId="12" fillId="18" borderId="22" xfId="4" applyNumberFormat="1" applyFont="1" applyFill="1" applyBorder="1" applyAlignment="1">
      <alignment horizontal="center" vertical="center" wrapText="1"/>
    </xf>
    <xf numFmtId="3" fontId="11" fillId="18" borderId="22" xfId="4" applyNumberFormat="1" applyFont="1" applyFill="1" applyBorder="1" applyAlignment="1">
      <alignment horizontal="center" vertical="center" wrapText="1"/>
    </xf>
    <xf numFmtId="166" fontId="12" fillId="18" borderId="29" xfId="4" applyNumberFormat="1" applyFont="1" applyFill="1" applyBorder="1" applyAlignment="1">
      <alignment horizontal="center" vertical="center" wrapText="1"/>
    </xf>
    <xf numFmtId="0" fontId="25" fillId="17" borderId="41" xfId="4" applyFill="1" applyBorder="1" applyAlignment="1">
      <alignment vertical="center" wrapText="1"/>
    </xf>
    <xf numFmtId="0" fontId="4" fillId="18" borderId="41" xfId="4" applyFont="1" applyFill="1" applyBorder="1" applyAlignment="1">
      <alignment horizontal="center" vertical="center" wrapText="1"/>
    </xf>
    <xf numFmtId="0" fontId="25" fillId="19" borderId="41" xfId="4" applyFill="1" applyBorder="1" applyAlignment="1">
      <alignment vertical="center" wrapText="1"/>
    </xf>
    <xf numFmtId="4" fontId="25" fillId="19" borderId="41" xfId="4" applyNumberFormat="1" applyFill="1" applyBorder="1" applyAlignment="1">
      <alignment vertical="center" wrapText="1"/>
    </xf>
    <xf numFmtId="0" fontId="25" fillId="0" borderId="41" xfId="4" applyBorder="1" applyAlignment="1">
      <alignment vertical="center" wrapText="1"/>
    </xf>
    <xf numFmtId="49" fontId="4" fillId="17" borderId="21" xfId="4" applyNumberFormat="1" applyFont="1" applyFill="1" applyBorder="1" applyAlignment="1">
      <alignment horizontal="center" vertical="center" wrapText="1"/>
    </xf>
    <xf numFmtId="0" fontId="6" fillId="18" borderId="49" xfId="4" applyFont="1" applyFill="1" applyBorder="1" applyAlignment="1">
      <alignment vertical="center" wrapText="1"/>
    </xf>
    <xf numFmtId="0" fontId="6" fillId="18" borderId="49" xfId="4" applyFont="1" applyFill="1" applyBorder="1" applyAlignment="1">
      <alignment horizontal="center" vertical="center" wrapText="1"/>
    </xf>
    <xf numFmtId="49" fontId="6" fillId="18" borderId="49" xfId="4" applyNumberFormat="1" applyFont="1" applyFill="1" applyBorder="1" applyAlignment="1">
      <alignment horizontal="center" vertical="center" wrapText="1"/>
    </xf>
    <xf numFmtId="49" fontId="4" fillId="18" borderId="35" xfId="4" applyNumberFormat="1" applyFont="1" applyFill="1" applyBorder="1" applyAlignment="1">
      <alignment horizontal="center" vertical="center" wrapText="1"/>
    </xf>
    <xf numFmtId="1" fontId="6" fillId="18" borderId="20" xfId="4" applyNumberFormat="1" applyFont="1" applyFill="1" applyBorder="1" applyAlignment="1">
      <alignment horizontal="center" vertical="center" wrapText="1"/>
    </xf>
    <xf numFmtId="2" fontId="6" fillId="18" borderId="20" xfId="4" applyNumberFormat="1" applyFont="1" applyFill="1" applyBorder="1" applyAlignment="1">
      <alignment horizontal="center" vertical="center" wrapText="1"/>
    </xf>
    <xf numFmtId="4" fontId="6" fillId="18" borderId="20" xfId="4" applyNumberFormat="1" applyFont="1" applyFill="1" applyBorder="1" applyAlignment="1">
      <alignment horizontal="center" vertical="center" wrapText="1"/>
    </xf>
    <xf numFmtId="169" fontId="6" fillId="18" borderId="20" xfId="4" applyNumberFormat="1" applyFont="1" applyFill="1" applyBorder="1" applyAlignment="1">
      <alignment horizontal="center" vertical="center" wrapText="1"/>
    </xf>
    <xf numFmtId="3" fontId="6" fillId="0" borderId="20" xfId="4" applyNumberFormat="1" applyFont="1" applyBorder="1" applyAlignment="1">
      <alignment horizontal="center" vertical="center" wrapText="1"/>
    </xf>
    <xf numFmtId="9" fontId="6" fillId="18" borderId="20" xfId="4" applyNumberFormat="1" applyFont="1" applyFill="1" applyBorder="1" applyAlignment="1">
      <alignment horizontal="center" vertical="center" wrapText="1"/>
    </xf>
    <xf numFmtId="3" fontId="6" fillId="18" borderId="20" xfId="4" applyNumberFormat="1" applyFont="1" applyFill="1" applyBorder="1" applyAlignment="1">
      <alignment horizontal="center" vertical="center" wrapText="1"/>
    </xf>
    <xf numFmtId="3" fontId="4" fillId="18" borderId="20" xfId="4" applyNumberFormat="1" applyFont="1" applyFill="1" applyBorder="1" applyAlignment="1">
      <alignment horizontal="center" vertical="center" wrapText="1"/>
    </xf>
    <xf numFmtId="49" fontId="4" fillId="17" borderId="28" xfId="4" applyNumberFormat="1" applyFont="1" applyFill="1" applyBorder="1" applyAlignment="1">
      <alignment horizontal="center" vertical="center" wrapText="1"/>
    </xf>
    <xf numFmtId="0" fontId="6" fillId="18" borderId="41" xfId="4" applyFont="1" applyFill="1" applyBorder="1" applyAlignment="1">
      <alignment vertical="center" wrapText="1"/>
    </xf>
    <xf numFmtId="49" fontId="6" fillId="18" borderId="41" xfId="4" applyNumberFormat="1" applyFont="1" applyFill="1" applyBorder="1" applyAlignment="1">
      <alignment horizontal="center" vertical="center" wrapText="1"/>
    </xf>
    <xf numFmtId="49" fontId="4" fillId="18" borderId="26" xfId="4" applyNumberFormat="1" applyFont="1" applyFill="1" applyBorder="1" applyAlignment="1">
      <alignment horizontal="center" vertical="center" wrapText="1"/>
    </xf>
    <xf numFmtId="49" fontId="4" fillId="17" borderId="28" xfId="4" quotePrefix="1" applyNumberFormat="1" applyFont="1" applyFill="1" applyBorder="1" applyAlignment="1">
      <alignment horizontal="center" vertical="center" wrapText="1"/>
    </xf>
    <xf numFmtId="0" fontId="6" fillId="18" borderId="59" xfId="4" applyFont="1" applyFill="1" applyBorder="1" applyAlignment="1">
      <alignment vertical="center" wrapText="1"/>
    </xf>
    <xf numFmtId="49" fontId="6" fillId="18" borderId="59" xfId="4" applyNumberFormat="1" applyFont="1" applyFill="1" applyBorder="1" applyAlignment="1">
      <alignment horizontal="center" vertical="center" wrapText="1"/>
    </xf>
    <xf numFmtId="49" fontId="4" fillId="18" borderId="37" xfId="4" applyNumberFormat="1" applyFont="1" applyFill="1" applyBorder="1" applyAlignment="1">
      <alignment horizontal="center" vertical="center" wrapText="1"/>
    </xf>
    <xf numFmtId="1" fontId="6" fillId="18" borderId="38" xfId="4" applyNumberFormat="1" applyFont="1" applyFill="1" applyBorder="1" applyAlignment="1">
      <alignment horizontal="center" vertical="center" wrapText="1"/>
    </xf>
    <xf numFmtId="2" fontId="6" fillId="18" borderId="38" xfId="4" applyNumberFormat="1" applyFont="1" applyFill="1" applyBorder="1" applyAlignment="1">
      <alignment horizontal="center" vertical="center" wrapText="1"/>
    </xf>
    <xf numFmtId="4" fontId="6" fillId="18" borderId="38" xfId="4" applyNumberFormat="1" applyFont="1" applyFill="1" applyBorder="1" applyAlignment="1">
      <alignment horizontal="center" vertical="center" wrapText="1"/>
    </xf>
    <xf numFmtId="169" fontId="6" fillId="18" borderId="38" xfId="4" applyNumberFormat="1" applyFont="1" applyFill="1" applyBorder="1" applyAlignment="1">
      <alignment horizontal="center" vertical="center" wrapText="1"/>
    </xf>
    <xf numFmtId="3" fontId="6" fillId="18" borderId="38" xfId="4" applyNumberFormat="1" applyFont="1" applyFill="1" applyBorder="1" applyAlignment="1">
      <alignment horizontal="center" vertical="center" wrapText="1"/>
    </xf>
    <xf numFmtId="9" fontId="6" fillId="18" borderId="38" xfId="4" applyNumberFormat="1" applyFont="1" applyFill="1" applyBorder="1" applyAlignment="1">
      <alignment horizontal="center" vertical="center" wrapText="1"/>
    </xf>
    <xf numFmtId="3" fontId="4" fillId="18" borderId="38" xfId="4" applyNumberFormat="1" applyFont="1" applyFill="1" applyBorder="1" applyAlignment="1">
      <alignment horizontal="center" vertical="center" wrapText="1"/>
    </xf>
    <xf numFmtId="49" fontId="4" fillId="17" borderId="39" xfId="4" applyNumberFormat="1" applyFont="1" applyFill="1" applyBorder="1" applyAlignment="1">
      <alignment horizontal="center" vertical="center" wrapText="1"/>
    </xf>
    <xf numFmtId="0" fontId="6" fillId="18" borderId="60" xfId="4" applyFont="1" applyFill="1" applyBorder="1" applyAlignment="1">
      <alignment vertical="center" wrapText="1"/>
    </xf>
    <xf numFmtId="0" fontId="6" fillId="19" borderId="41" xfId="4" applyFont="1" applyFill="1" applyBorder="1" applyAlignment="1">
      <alignment vertical="center" wrapText="1"/>
    </xf>
    <xf numFmtId="0" fontId="6" fillId="19" borderId="41" xfId="4" applyFont="1" applyFill="1" applyBorder="1" applyAlignment="1">
      <alignment horizontal="center" vertical="center" wrapText="1"/>
    </xf>
    <xf numFmtId="4" fontId="6" fillId="19" borderId="41" xfId="4" applyNumberFormat="1" applyFont="1" applyFill="1" applyBorder="1" applyAlignment="1">
      <alignment horizontal="center" vertical="center" wrapText="1"/>
    </xf>
    <xf numFmtId="3" fontId="6" fillId="19" borderId="41" xfId="4" applyNumberFormat="1" applyFont="1" applyFill="1" applyBorder="1" applyAlignment="1">
      <alignment horizontal="center" vertical="center" wrapText="1"/>
    </xf>
    <xf numFmtId="9" fontId="6" fillId="19" borderId="41" xfId="4" applyNumberFormat="1" applyFont="1" applyFill="1" applyBorder="1" applyAlignment="1">
      <alignment horizontal="center" vertical="center" wrapText="1"/>
    </xf>
    <xf numFmtId="2" fontId="6" fillId="18" borderId="37" xfId="4" applyNumberFormat="1" applyFont="1" applyFill="1" applyBorder="1" applyAlignment="1">
      <alignment horizontal="center" vertical="center" wrapText="1"/>
    </xf>
    <xf numFmtId="0" fontId="36" fillId="17" borderId="41" xfId="4" applyFont="1" applyFill="1" applyBorder="1" applyAlignment="1">
      <alignment horizontal="center" vertical="center" wrapText="1"/>
    </xf>
    <xf numFmtId="0" fontId="6" fillId="19" borderId="49" xfId="4" applyFont="1" applyFill="1" applyBorder="1" applyAlignment="1">
      <alignment vertical="center" wrapText="1"/>
    </xf>
    <xf numFmtId="0" fontId="6" fillId="19" borderId="49" xfId="4" applyFont="1" applyFill="1" applyBorder="1" applyAlignment="1">
      <alignment horizontal="center" vertical="center" wrapText="1"/>
    </xf>
    <xf numFmtId="0" fontId="25" fillId="19" borderId="49" xfId="4" applyFill="1" applyBorder="1" applyAlignment="1">
      <alignment vertical="center" wrapText="1"/>
    </xf>
    <xf numFmtId="4" fontId="6" fillId="19" borderId="49" xfId="4" applyNumberFormat="1" applyFont="1" applyFill="1" applyBorder="1" applyAlignment="1">
      <alignment horizontal="center" vertical="center" wrapText="1"/>
    </xf>
    <xf numFmtId="3" fontId="6" fillId="19" borderId="49" xfId="4" applyNumberFormat="1" applyFont="1" applyFill="1" applyBorder="1" applyAlignment="1">
      <alignment horizontal="center" vertical="center" wrapText="1"/>
    </xf>
    <xf numFmtId="9" fontId="6" fillId="19" borderId="49" xfId="4" applyNumberFormat="1" applyFont="1" applyFill="1" applyBorder="1" applyAlignment="1">
      <alignment horizontal="center" vertical="center" wrapText="1"/>
    </xf>
    <xf numFmtId="0" fontId="6" fillId="18" borderId="41" xfId="4" applyFont="1" applyFill="1" applyBorder="1" applyAlignment="1">
      <alignment horizontal="center" vertical="center" wrapText="1"/>
    </xf>
    <xf numFmtId="4" fontId="6" fillId="18" borderId="84" xfId="4" applyNumberFormat="1" applyFont="1" applyFill="1" applyBorder="1" applyAlignment="1">
      <alignment horizontal="center" vertical="center" wrapText="1"/>
    </xf>
    <xf numFmtId="0" fontId="6" fillId="18" borderId="59" xfId="4" applyFont="1" applyFill="1" applyBorder="1" applyAlignment="1">
      <alignment horizontal="center" vertical="center" wrapText="1"/>
    </xf>
    <xf numFmtId="4" fontId="6" fillId="18" borderId="69" xfId="4" applyNumberFormat="1" applyFont="1" applyFill="1" applyBorder="1" applyAlignment="1">
      <alignment horizontal="center" vertical="center" wrapText="1"/>
    </xf>
    <xf numFmtId="0" fontId="25" fillId="18" borderId="41" xfId="4" applyFill="1" applyBorder="1" applyAlignment="1">
      <alignment vertical="center" wrapText="1"/>
    </xf>
    <xf numFmtId="4" fontId="25" fillId="18" borderId="41" xfId="4" applyNumberFormat="1" applyFill="1" applyBorder="1" applyAlignment="1">
      <alignment vertical="center" wrapText="1"/>
    </xf>
    <xf numFmtId="0" fontId="11" fillId="17" borderId="41" xfId="4" applyFont="1" applyFill="1" applyBorder="1" applyAlignment="1">
      <alignment horizontal="center" vertical="center" wrapText="1"/>
    </xf>
    <xf numFmtId="0" fontId="11" fillId="17" borderId="41" xfId="4" quotePrefix="1" applyFont="1" applyFill="1" applyBorder="1" applyAlignment="1">
      <alignment horizontal="center" vertical="center" wrapText="1"/>
    </xf>
    <xf numFmtId="3" fontId="4" fillId="18" borderId="70" xfId="4" applyNumberFormat="1" applyFont="1" applyFill="1" applyBorder="1" applyAlignment="1">
      <alignment horizontal="center" vertical="center" wrapText="1"/>
    </xf>
    <xf numFmtId="0" fontId="4" fillId="17" borderId="68" xfId="4" applyFont="1" applyFill="1" applyBorder="1" applyAlignment="1">
      <alignment horizontal="center" vertical="center" wrapText="1"/>
    </xf>
    <xf numFmtId="2" fontId="6" fillId="0" borderId="41" xfId="4" applyNumberFormat="1" applyFont="1" applyBorder="1" applyAlignment="1">
      <alignment horizontal="center" vertical="center" wrapText="1"/>
    </xf>
    <xf numFmtId="3" fontId="4" fillId="19" borderId="41" xfId="4" applyNumberFormat="1" applyFont="1" applyFill="1" applyBorder="1" applyAlignment="1">
      <alignment horizontal="center" vertical="center" wrapText="1"/>
    </xf>
    <xf numFmtId="2" fontId="6" fillId="18" borderId="26" xfId="4" applyNumberFormat="1" applyFont="1" applyFill="1" applyBorder="1" applyAlignment="1">
      <alignment horizontal="center" vertical="center" wrapText="1"/>
    </xf>
    <xf numFmtId="0" fontId="6" fillId="19" borderId="55" xfId="4" applyFont="1" applyFill="1" applyBorder="1" applyAlignment="1">
      <alignment horizontal="center" vertical="center" wrapText="1"/>
    </xf>
    <xf numFmtId="0" fontId="6" fillId="19" borderId="57" xfId="4" applyFont="1" applyFill="1" applyBorder="1" applyAlignment="1">
      <alignment horizontal="center" vertical="center" wrapText="1"/>
    </xf>
    <xf numFmtId="0" fontId="4" fillId="17" borderId="32" xfId="4" applyFont="1" applyFill="1" applyBorder="1" applyAlignment="1">
      <alignment horizontal="center" vertical="center" wrapText="1"/>
    </xf>
    <xf numFmtId="0" fontId="6" fillId="18" borderId="34" xfId="4" applyFont="1" applyFill="1" applyBorder="1" applyAlignment="1">
      <alignment vertical="center" wrapText="1"/>
    </xf>
    <xf numFmtId="0" fontId="6" fillId="18" borderId="34" xfId="4" applyFont="1" applyFill="1" applyBorder="1" applyAlignment="1">
      <alignment horizontal="center" vertical="center" wrapText="1"/>
    </xf>
    <xf numFmtId="1" fontId="6" fillId="18" borderId="34" xfId="4" applyNumberFormat="1" applyFont="1" applyFill="1" applyBorder="1" applyAlignment="1">
      <alignment horizontal="center" vertical="center" wrapText="1"/>
    </xf>
    <xf numFmtId="49" fontId="4" fillId="0" borderId="34" xfId="4" applyNumberFormat="1" applyFont="1" applyBorder="1" applyAlignment="1">
      <alignment horizontal="center" vertical="center" wrapText="1"/>
    </xf>
    <xf numFmtId="2" fontId="6" fillId="0" borderId="34" xfId="4" applyNumberFormat="1" applyFont="1" applyBorder="1" applyAlignment="1">
      <alignment horizontal="center" vertical="center" wrapText="1"/>
    </xf>
    <xf numFmtId="4" fontId="6" fillId="18" borderId="34" xfId="4" applyNumberFormat="1" applyFont="1" applyFill="1" applyBorder="1" applyAlignment="1">
      <alignment horizontal="center" vertical="center" wrapText="1"/>
    </xf>
    <xf numFmtId="4" fontId="6" fillId="0" borderId="14" xfId="4" applyNumberFormat="1" applyFont="1" applyBorder="1" applyAlignment="1">
      <alignment horizontal="center" vertical="center" wrapText="1"/>
    </xf>
    <xf numFmtId="169" fontId="6" fillId="0" borderId="17" xfId="4" applyNumberFormat="1" applyFont="1" applyBorder="1" applyAlignment="1">
      <alignment horizontal="center" vertical="center" wrapText="1"/>
    </xf>
    <xf numFmtId="3" fontId="6" fillId="0" borderId="34" xfId="4" applyNumberFormat="1" applyFont="1" applyBorder="1" applyAlignment="1">
      <alignment horizontal="center" vertical="center" wrapText="1"/>
    </xf>
    <xf numFmtId="9" fontId="6" fillId="18" borderId="34" xfId="4" applyNumberFormat="1" applyFont="1" applyFill="1" applyBorder="1" applyAlignment="1">
      <alignment horizontal="center" vertical="center" wrapText="1"/>
    </xf>
    <xf numFmtId="3" fontId="4" fillId="0" borderId="34" xfId="4" applyNumberFormat="1" applyFont="1" applyBorder="1" applyAlignment="1">
      <alignment horizontal="center" vertical="center" wrapText="1"/>
    </xf>
    <xf numFmtId="2" fontId="6" fillId="0" borderId="38" xfId="4" applyNumberFormat="1" applyFont="1" applyBorder="1" applyAlignment="1">
      <alignment horizontal="center" vertical="center" wrapText="1"/>
    </xf>
    <xf numFmtId="4" fontId="6" fillId="18" borderId="41" xfId="4" applyNumberFormat="1" applyFont="1" applyFill="1" applyBorder="1" applyAlignment="1">
      <alignment horizontal="center" vertical="center" wrapText="1"/>
    </xf>
    <xf numFmtId="0" fontId="6" fillId="18" borderId="55" xfId="4" applyFont="1" applyFill="1" applyBorder="1" applyAlignment="1">
      <alignment horizontal="center" vertical="center" wrapText="1"/>
    </xf>
    <xf numFmtId="0" fontId="6" fillId="18" borderId="57" xfId="4" applyFont="1" applyFill="1" applyBorder="1" applyAlignment="1">
      <alignment horizontal="center" vertical="center" wrapText="1"/>
    </xf>
    <xf numFmtId="3" fontId="6" fillId="18" borderId="41" xfId="4" applyNumberFormat="1" applyFont="1" applyFill="1" applyBorder="1" applyAlignment="1">
      <alignment horizontal="center" vertical="center" wrapText="1"/>
    </xf>
    <xf numFmtId="9" fontId="6" fillId="18" borderId="41" xfId="4" applyNumberFormat="1" applyFont="1" applyFill="1" applyBorder="1" applyAlignment="1">
      <alignment horizontal="center" vertical="center" wrapText="1"/>
    </xf>
    <xf numFmtId="3" fontId="4" fillId="18" borderId="41" xfId="4" applyNumberFormat="1" applyFont="1" applyFill="1" applyBorder="1" applyAlignment="1">
      <alignment horizontal="center" vertical="center" wrapText="1"/>
    </xf>
    <xf numFmtId="0" fontId="25" fillId="18" borderId="59" xfId="4" applyFill="1" applyBorder="1" applyAlignment="1">
      <alignment vertical="center" wrapText="1"/>
    </xf>
    <xf numFmtId="4" fontId="6" fillId="18" borderId="59" xfId="4" applyNumberFormat="1" applyFont="1" applyFill="1" applyBorder="1" applyAlignment="1">
      <alignment horizontal="center" vertical="center" wrapText="1"/>
    </xf>
    <xf numFmtId="0" fontId="6" fillId="18" borderId="60" xfId="4" applyFont="1" applyFill="1" applyBorder="1" applyAlignment="1">
      <alignment horizontal="center" vertical="center" wrapText="1"/>
    </xf>
    <xf numFmtId="0" fontId="6" fillId="18" borderId="61" xfId="4" applyFont="1" applyFill="1" applyBorder="1" applyAlignment="1">
      <alignment horizontal="center" vertical="center" wrapText="1"/>
    </xf>
    <xf numFmtId="3" fontId="6" fillId="18" borderId="59" xfId="4" applyNumberFormat="1" applyFont="1" applyFill="1" applyBorder="1" applyAlignment="1">
      <alignment horizontal="center" vertical="center" wrapText="1"/>
    </xf>
    <xf numFmtId="9" fontId="6" fillId="18" borderId="59" xfId="4" applyNumberFormat="1" applyFont="1" applyFill="1" applyBorder="1" applyAlignment="1">
      <alignment horizontal="center" vertical="center" wrapText="1"/>
    </xf>
    <xf numFmtId="3" fontId="4" fillId="18" borderId="59" xfId="4" applyNumberFormat="1" applyFont="1" applyFill="1" applyBorder="1" applyAlignment="1">
      <alignment horizontal="center" vertical="center" wrapText="1"/>
    </xf>
    <xf numFmtId="1" fontId="6" fillId="18" borderId="31" xfId="4" applyNumberFormat="1" applyFont="1" applyFill="1" applyBorder="1" applyAlignment="1">
      <alignment horizontal="center" vertical="center" wrapText="1"/>
    </xf>
    <xf numFmtId="49" fontId="4" fillId="18" borderId="20" xfId="4" applyNumberFormat="1" applyFont="1" applyFill="1" applyBorder="1" applyAlignment="1">
      <alignment horizontal="center" vertical="center" wrapText="1"/>
    </xf>
    <xf numFmtId="4" fontId="6" fillId="18" borderId="21" xfId="4" applyNumberFormat="1" applyFont="1" applyFill="1" applyBorder="1" applyAlignment="1">
      <alignment horizontal="center" vertical="center" wrapText="1"/>
    </xf>
    <xf numFmtId="169" fontId="6" fillId="18" borderId="35" xfId="4" applyNumberFormat="1" applyFont="1" applyFill="1" applyBorder="1" applyAlignment="1">
      <alignment horizontal="center" vertical="center" wrapText="1"/>
    </xf>
    <xf numFmtId="4" fontId="6" fillId="18" borderId="28" xfId="4" applyNumberFormat="1" applyFont="1" applyFill="1" applyBorder="1" applyAlignment="1">
      <alignment horizontal="center" vertical="center" wrapText="1"/>
    </xf>
    <xf numFmtId="169" fontId="6" fillId="18" borderId="26" xfId="4" applyNumberFormat="1" applyFont="1" applyFill="1" applyBorder="1" applyAlignment="1">
      <alignment horizontal="center" vertical="center" wrapText="1"/>
    </xf>
    <xf numFmtId="0" fontId="6" fillId="17" borderId="32" xfId="4" applyFont="1" applyFill="1" applyBorder="1" applyAlignment="1">
      <alignment horizontal="center" vertical="center" wrapText="1"/>
    </xf>
    <xf numFmtId="0" fontId="6" fillId="17" borderId="32" xfId="4" quotePrefix="1" applyFont="1" applyFill="1" applyBorder="1" applyAlignment="1">
      <alignment horizontal="center" vertical="center" wrapText="1"/>
    </xf>
    <xf numFmtId="3" fontId="6" fillId="18" borderId="29" xfId="4" applyNumberFormat="1" applyFont="1" applyFill="1" applyBorder="1" applyAlignment="1">
      <alignment horizontal="center" vertical="center" wrapText="1"/>
    </xf>
    <xf numFmtId="2" fontId="4" fillId="18" borderId="22" xfId="4" applyNumberFormat="1" applyFont="1" applyFill="1" applyBorder="1" applyAlignment="1">
      <alignment vertical="center" wrapText="1"/>
    </xf>
    <xf numFmtId="2" fontId="4" fillId="18" borderId="22" xfId="4" applyNumberFormat="1" applyFont="1" applyFill="1" applyBorder="1" applyAlignment="1">
      <alignment horizontal="center" vertical="center" wrapText="1"/>
    </xf>
    <xf numFmtId="0" fontId="11" fillId="17" borderId="22" xfId="4" applyFont="1" applyFill="1" applyBorder="1" applyAlignment="1">
      <alignment horizontal="center" vertical="center" wrapText="1"/>
    </xf>
    <xf numFmtId="167" fontId="12" fillId="18" borderId="22" xfId="4" applyNumberFormat="1" applyFont="1" applyFill="1" applyBorder="1" applyAlignment="1">
      <alignment horizontal="center" vertical="center" wrapText="1"/>
    </xf>
    <xf numFmtId="164" fontId="3" fillId="2" borderId="40" xfId="0" applyNumberFormat="1" applyFont="1" applyFill="1" applyBorder="1" applyAlignment="1">
      <alignment wrapText="1"/>
    </xf>
    <xf numFmtId="0" fontId="4" fillId="17" borderId="22" xfId="4" applyFont="1" applyFill="1" applyBorder="1" applyAlignment="1">
      <alignment horizontal="center" vertical="center" wrapText="1"/>
    </xf>
    <xf numFmtId="167" fontId="6" fillId="18" borderId="22" xfId="4" applyNumberFormat="1" applyFont="1" applyFill="1" applyBorder="1" applyAlignment="1">
      <alignment horizontal="center" vertical="center" wrapText="1"/>
    </xf>
    <xf numFmtId="164" fontId="3" fillId="2" borderId="40" xfId="0" applyNumberFormat="1" applyFont="1" applyFill="1" applyBorder="1" applyAlignment="1">
      <alignment vertical="top" wrapText="1"/>
    </xf>
    <xf numFmtId="1" fontId="12" fillId="0" borderId="38" xfId="0" applyNumberFormat="1" applyFont="1" applyBorder="1" applyAlignment="1">
      <alignment horizontal="center" vertical="center" wrapText="1"/>
    </xf>
    <xf numFmtId="49" fontId="4" fillId="18" borderId="38" xfId="4" applyNumberFormat="1" applyFont="1" applyFill="1" applyBorder="1" applyAlignment="1">
      <alignment horizontal="center" vertical="center" wrapText="1"/>
    </xf>
    <xf numFmtId="164" fontId="11" fillId="2" borderId="40" xfId="0" applyNumberFormat="1" applyFont="1" applyFill="1" applyBorder="1" applyAlignment="1">
      <alignment vertical="center" wrapText="1"/>
    </xf>
    <xf numFmtId="0" fontId="11" fillId="17" borderId="28" xfId="4" applyFont="1" applyFill="1" applyBorder="1" applyAlignment="1">
      <alignment horizontal="center" vertical="center" wrapText="1"/>
    </xf>
    <xf numFmtId="0" fontId="12" fillId="18" borderId="41" xfId="4" applyFont="1" applyFill="1" applyBorder="1" applyAlignment="1">
      <alignment vertical="center" wrapText="1"/>
    </xf>
    <xf numFmtId="0" fontId="12" fillId="18" borderId="41" xfId="4" applyFont="1" applyFill="1" applyBorder="1" applyAlignment="1">
      <alignment horizontal="center" vertical="center" wrapText="1"/>
    </xf>
    <xf numFmtId="0" fontId="25" fillId="18" borderId="41" xfId="4" applyFont="1" applyFill="1" applyBorder="1" applyAlignment="1">
      <alignment vertical="center" wrapText="1"/>
    </xf>
    <xf numFmtId="4" fontId="12" fillId="18" borderId="41" xfId="4" applyNumberFormat="1" applyFont="1" applyFill="1" applyBorder="1" applyAlignment="1">
      <alignment horizontal="center" vertical="center" wrapText="1"/>
    </xf>
    <xf numFmtId="3" fontId="12" fillId="18" borderId="41" xfId="4" applyNumberFormat="1" applyFont="1" applyFill="1" applyBorder="1" applyAlignment="1">
      <alignment horizontal="center" vertical="center" wrapText="1"/>
    </xf>
    <xf numFmtId="9" fontId="12" fillId="18" borderId="41" xfId="4" applyNumberFormat="1" applyFont="1" applyFill="1" applyBorder="1" applyAlignment="1">
      <alignment horizontal="center" vertical="center" wrapText="1"/>
    </xf>
    <xf numFmtId="3" fontId="11" fillId="18" borderId="41" xfId="4" applyNumberFormat="1" applyFont="1" applyFill="1" applyBorder="1" applyAlignment="1">
      <alignment horizontal="center" vertical="center" wrapText="1"/>
    </xf>
    <xf numFmtId="0" fontId="12" fillId="18" borderId="31" xfId="4" applyFont="1" applyFill="1" applyBorder="1" applyAlignment="1">
      <alignment vertical="center" wrapText="1"/>
    </xf>
    <xf numFmtId="0" fontId="12" fillId="18" borderId="31" xfId="4" applyFont="1" applyFill="1" applyBorder="1" applyAlignment="1">
      <alignment horizontal="center" vertical="center" wrapText="1"/>
    </xf>
    <xf numFmtId="49" fontId="12" fillId="18" borderId="31" xfId="4" applyNumberFormat="1" applyFont="1" applyFill="1" applyBorder="1" applyAlignment="1">
      <alignment horizontal="center" vertical="center" wrapText="1"/>
    </xf>
    <xf numFmtId="49" fontId="11" fillId="18" borderId="20" xfId="4" applyNumberFormat="1" applyFont="1" applyFill="1" applyBorder="1" applyAlignment="1">
      <alignment horizontal="center" vertical="center" wrapText="1"/>
    </xf>
    <xf numFmtId="1" fontId="12" fillId="18" borderId="34" xfId="4" applyNumberFormat="1" applyFont="1" applyFill="1" applyBorder="1" applyAlignment="1">
      <alignment horizontal="center" vertical="center" wrapText="1"/>
    </xf>
    <xf numFmtId="2" fontId="12" fillId="18" borderId="34" xfId="4" applyNumberFormat="1" applyFont="1" applyFill="1" applyBorder="1" applyAlignment="1">
      <alignment horizontal="center" vertical="center" wrapText="1"/>
    </xf>
    <xf numFmtId="4" fontId="12" fillId="18" borderId="31" xfId="4" applyNumberFormat="1" applyFont="1" applyFill="1" applyBorder="1" applyAlignment="1">
      <alignment horizontal="center" vertical="center" wrapText="1"/>
    </xf>
    <xf numFmtId="4" fontId="12" fillId="18" borderId="20" xfId="4" applyNumberFormat="1" applyFont="1" applyFill="1" applyBorder="1" applyAlignment="1">
      <alignment horizontal="center" vertical="center" wrapText="1"/>
    </xf>
    <xf numFmtId="167" fontId="12" fillId="18" borderId="20" xfId="4" applyNumberFormat="1" applyFont="1" applyFill="1" applyBorder="1" applyAlignment="1">
      <alignment horizontal="center" vertical="center" wrapText="1"/>
    </xf>
    <xf numFmtId="169" fontId="12" fillId="18" borderId="20" xfId="4" applyNumberFormat="1" applyFont="1" applyFill="1" applyBorder="1" applyAlignment="1">
      <alignment horizontal="center" vertical="center" wrapText="1"/>
    </xf>
    <xf numFmtId="3" fontId="12" fillId="18" borderId="20" xfId="4" applyNumberFormat="1" applyFont="1" applyFill="1" applyBorder="1" applyAlignment="1">
      <alignment horizontal="center" vertical="center" wrapText="1"/>
    </xf>
    <xf numFmtId="9" fontId="12" fillId="18" borderId="20" xfId="4" applyNumberFormat="1" applyFont="1" applyFill="1" applyBorder="1" applyAlignment="1">
      <alignment horizontal="center" vertical="center" wrapText="1"/>
    </xf>
    <xf numFmtId="3" fontId="11" fillId="18" borderId="20" xfId="4" applyNumberFormat="1" applyFont="1" applyFill="1" applyBorder="1" applyAlignment="1">
      <alignment horizontal="center" vertical="center" wrapText="1"/>
    </xf>
    <xf numFmtId="2" fontId="12" fillId="18" borderId="20" xfId="4" applyNumberFormat="1" applyFont="1" applyFill="1" applyBorder="1" applyAlignment="1">
      <alignment horizontal="center" vertical="center" wrapText="1"/>
    </xf>
    <xf numFmtId="1" fontId="12" fillId="18" borderId="38" xfId="4" applyNumberFormat="1" applyFont="1" applyFill="1" applyBorder="1" applyAlignment="1">
      <alignment horizontal="center" vertical="center" wrapText="1"/>
    </xf>
    <xf numFmtId="2" fontId="12" fillId="18" borderId="38" xfId="4" applyNumberFormat="1" applyFont="1" applyFill="1" applyBorder="1" applyAlignment="1">
      <alignment horizontal="center" vertical="center" wrapText="1"/>
    </xf>
    <xf numFmtId="37" fontId="12" fillId="18" borderId="22" xfId="4" applyNumberFormat="1" applyFont="1" applyFill="1" applyBorder="1" applyAlignment="1">
      <alignment horizontal="center" vertical="center" wrapText="1"/>
    </xf>
    <xf numFmtId="37" fontId="11" fillId="18" borderId="22" xfId="4" applyNumberFormat="1" applyFont="1" applyFill="1" applyBorder="1" applyAlignment="1">
      <alignment horizontal="center" vertical="center" wrapText="1"/>
    </xf>
    <xf numFmtId="164" fontId="4" fillId="2" borderId="40" xfId="0" applyNumberFormat="1" applyFont="1" applyFill="1" applyBorder="1" applyAlignment="1">
      <alignment horizontal="center" vertical="center" wrapText="1"/>
    </xf>
    <xf numFmtId="164" fontId="4" fillId="2" borderId="40" xfId="0" applyNumberFormat="1" applyFont="1" applyFill="1" applyBorder="1" applyAlignment="1">
      <alignment horizontal="left" vertical="center"/>
    </xf>
    <xf numFmtId="164" fontId="5" fillId="2" borderId="40" xfId="0" applyNumberFormat="1" applyFont="1" applyFill="1" applyBorder="1" applyAlignment="1">
      <alignment horizontal="center" vertical="center"/>
    </xf>
    <xf numFmtId="4" fontId="5" fillId="2" borderId="40" xfId="0" applyNumberFormat="1" applyFont="1" applyFill="1" applyBorder="1" applyAlignment="1">
      <alignment horizontal="center" vertical="center"/>
    </xf>
    <xf numFmtId="1" fontId="5" fillId="2" borderId="40" xfId="0" applyNumberFormat="1" applyFont="1" applyFill="1" applyBorder="1" applyAlignment="1">
      <alignment horizontal="center" vertical="center"/>
    </xf>
    <xf numFmtId="164" fontId="5" fillId="2" borderId="40" xfId="0" applyNumberFormat="1" applyFont="1" applyFill="1" applyBorder="1" applyAlignment="1">
      <alignment vertical="center"/>
    </xf>
    <xf numFmtId="3" fontId="4" fillId="2" borderId="40" xfId="0" applyNumberFormat="1" applyFont="1" applyFill="1" applyBorder="1" applyAlignment="1">
      <alignment horizontal="center" vertical="center"/>
    </xf>
    <xf numFmtId="165" fontId="6" fillId="2" borderId="26" xfId="0" applyNumberFormat="1" applyFont="1" applyFill="1" applyBorder="1" applyAlignment="1">
      <alignment horizontal="center" vertical="center" wrapText="1"/>
    </xf>
    <xf numFmtId="3" fontId="4" fillId="2" borderId="33" xfId="0" applyNumberFormat="1" applyFont="1" applyFill="1" applyBorder="1" applyAlignment="1">
      <alignment horizontal="center" vertical="center" wrapText="1"/>
    </xf>
    <xf numFmtId="0" fontId="11" fillId="17" borderId="22" xfId="4" quotePrefix="1" applyFont="1" applyFill="1" applyBorder="1" applyAlignment="1">
      <alignment horizontal="center" vertical="center" wrapText="1"/>
    </xf>
    <xf numFmtId="164" fontId="11" fillId="2" borderId="33" xfId="0" applyNumberFormat="1" applyFont="1" applyFill="1" applyBorder="1" applyAlignment="1">
      <alignment vertical="center"/>
    </xf>
    <xf numFmtId="4" fontId="11" fillId="2" borderId="33" xfId="0" applyNumberFormat="1" applyFont="1" applyFill="1" applyBorder="1" applyAlignment="1">
      <alignment vertical="center"/>
    </xf>
    <xf numFmtId="164" fontId="11" fillId="2" borderId="26" xfId="0" applyNumberFormat="1" applyFont="1" applyFill="1" applyBorder="1" applyAlignment="1">
      <alignment vertical="center"/>
    </xf>
    <xf numFmtId="2" fontId="11" fillId="2" borderId="41" xfId="0" applyNumberFormat="1" applyFont="1" applyFill="1" applyBorder="1" applyAlignment="1">
      <alignment horizontal="center" vertical="center" wrapText="1"/>
    </xf>
    <xf numFmtId="2" fontId="11" fillId="2" borderId="59" xfId="0" applyNumberFormat="1" applyFont="1" applyFill="1" applyBorder="1" applyAlignment="1">
      <alignment horizontal="center" vertical="center" wrapText="1"/>
    </xf>
    <xf numFmtId="2" fontId="11" fillId="2" borderId="49" xfId="0" applyNumberFormat="1" applyFont="1" applyFill="1" applyBorder="1" applyAlignment="1">
      <alignment horizontal="center" vertical="center" wrapText="1"/>
    </xf>
    <xf numFmtId="49" fontId="11" fillId="2" borderId="59" xfId="0" applyNumberFormat="1" applyFont="1" applyFill="1" applyBorder="1" applyAlignment="1">
      <alignment horizontal="center" vertical="center" wrapText="1"/>
    </xf>
    <xf numFmtId="49" fontId="11" fillId="2" borderId="49" xfId="0" applyNumberFormat="1" applyFont="1" applyFill="1" applyBorder="1" applyAlignment="1">
      <alignment horizontal="center" vertical="center" wrapText="1"/>
    </xf>
    <xf numFmtId="165" fontId="11" fillId="2" borderId="85" xfId="0" applyNumberFormat="1" applyFont="1" applyFill="1" applyBorder="1" applyAlignment="1">
      <alignment horizontal="center" vertical="center" wrapText="1"/>
    </xf>
    <xf numFmtId="165" fontId="11" fillId="2" borderId="86" xfId="0" applyNumberFormat="1" applyFont="1" applyFill="1" applyBorder="1" applyAlignment="1">
      <alignment horizontal="center" vertical="center" wrapText="1"/>
    </xf>
    <xf numFmtId="165" fontId="11" fillId="2" borderId="34" xfId="0" applyNumberFormat="1" applyFont="1" applyFill="1" applyBorder="1" applyAlignment="1">
      <alignment horizontal="center" vertical="center" wrapText="1"/>
    </xf>
    <xf numFmtId="3" fontId="11" fillId="2" borderId="34" xfId="0" applyNumberFormat="1" applyFont="1" applyFill="1" applyBorder="1" applyAlignment="1">
      <alignment horizontal="center" vertical="center" wrapText="1"/>
    </xf>
    <xf numFmtId="2" fontId="11" fillId="2" borderId="34" xfId="0" applyNumberFormat="1" applyFont="1" applyFill="1" applyBorder="1" applyAlignment="1">
      <alignment horizontal="center" vertical="center" wrapText="1"/>
    </xf>
    <xf numFmtId="2" fontId="11" fillId="2" borderId="18" xfId="0" applyNumberFormat="1" applyFont="1" applyFill="1" applyBorder="1" applyAlignment="1">
      <alignment horizontal="center" vertical="center" wrapText="1"/>
    </xf>
    <xf numFmtId="165" fontId="11" fillId="2" borderId="87" xfId="0" applyNumberFormat="1" applyFont="1" applyFill="1" applyBorder="1" applyAlignment="1">
      <alignment horizontal="center" vertical="center" wrapText="1"/>
    </xf>
    <xf numFmtId="165" fontId="11" fillId="2" borderId="20" xfId="0" applyNumberFormat="1" applyFont="1" applyFill="1" applyBorder="1" applyAlignment="1">
      <alignment horizontal="center" vertical="center" wrapText="1"/>
    </xf>
    <xf numFmtId="2" fontId="11" fillId="2" borderId="24" xfId="0" applyNumberFormat="1" applyFont="1" applyFill="1" applyBorder="1" applyAlignment="1">
      <alignment horizontal="center" vertical="center" wrapText="1"/>
    </xf>
    <xf numFmtId="49" fontId="11" fillId="2" borderId="88" xfId="0" applyNumberFormat="1" applyFont="1" applyFill="1" applyBorder="1" applyAlignment="1">
      <alignment horizontal="center" vertical="center" wrapText="1"/>
    </xf>
    <xf numFmtId="49" fontId="11" fillId="2" borderId="55" xfId="0" applyNumberFormat="1" applyFont="1" applyFill="1" applyBorder="1" applyAlignment="1">
      <alignment horizontal="center" vertical="center" wrapText="1"/>
    </xf>
    <xf numFmtId="49" fontId="11" fillId="2" borderId="52" xfId="0" applyNumberFormat="1" applyFont="1" applyFill="1" applyBorder="1" applyAlignment="1">
      <alignment horizontal="center" vertical="center" wrapText="1"/>
    </xf>
    <xf numFmtId="49" fontId="11" fillId="2" borderId="57" xfId="0" applyNumberFormat="1" applyFont="1" applyFill="1" applyBorder="1" applyAlignment="1">
      <alignment horizontal="center" vertical="center" wrapText="1"/>
    </xf>
    <xf numFmtId="166" fontId="11" fillId="2" borderId="55" xfId="0" applyNumberFormat="1" applyFont="1" applyFill="1" applyBorder="1" applyAlignment="1">
      <alignment horizontal="center" vertical="center" wrapText="1"/>
    </xf>
    <xf numFmtId="166" fontId="11" fillId="2" borderId="57" xfId="0" applyNumberFormat="1" applyFont="1" applyFill="1" applyBorder="1" applyAlignment="1">
      <alignment horizontal="center" vertical="center" wrapText="1"/>
    </xf>
    <xf numFmtId="2" fontId="11" fillId="2" borderId="89" xfId="0" applyNumberFormat="1" applyFont="1" applyFill="1" applyBorder="1" applyAlignment="1">
      <alignment horizontal="center" vertical="center" wrapText="1"/>
    </xf>
    <xf numFmtId="2" fontId="11" fillId="2" borderId="87" xfId="0" applyNumberFormat="1" applyFont="1" applyFill="1" applyBorder="1" applyAlignment="1">
      <alignment horizontal="center" vertical="center" wrapText="1"/>
    </xf>
    <xf numFmtId="49" fontId="11" fillId="0" borderId="46" xfId="0" applyNumberFormat="1" applyFont="1" applyFill="1" applyBorder="1" applyAlignment="1">
      <alignment horizontal="center" vertical="center" wrapText="1"/>
    </xf>
    <xf numFmtId="0" fontId="11" fillId="0" borderId="90" xfId="0" applyFont="1" applyBorder="1" applyAlignment="1">
      <alignment horizontal="center" vertical="center" wrapText="1"/>
    </xf>
    <xf numFmtId="0" fontId="11" fillId="2" borderId="59" xfId="0" applyFont="1" applyFill="1" applyBorder="1" applyAlignment="1">
      <alignment horizontal="center" vertical="center" wrapText="1"/>
    </xf>
    <xf numFmtId="0" fontId="31" fillId="2" borderId="59" xfId="0" applyFont="1" applyFill="1" applyBorder="1" applyAlignment="1">
      <alignment horizontal="center" vertical="center"/>
    </xf>
    <xf numFmtId="167" fontId="11" fillId="2" borderId="55" xfId="0" applyNumberFormat="1" applyFont="1" applyFill="1" applyBorder="1" applyAlignment="1">
      <alignment horizontal="center" vertical="center" wrapText="1"/>
    </xf>
    <xf numFmtId="167" fontId="11" fillId="2" borderId="52" xfId="0" applyNumberFormat="1" applyFont="1" applyFill="1" applyBorder="1" applyAlignment="1">
      <alignment horizontal="center" vertical="center" wrapText="1"/>
    </xf>
    <xf numFmtId="167" fontId="11" fillId="2" borderId="57" xfId="0" applyNumberFormat="1" applyFont="1" applyFill="1" applyBorder="1" applyAlignment="1">
      <alignment horizontal="center" vertical="center" wrapText="1"/>
    </xf>
    <xf numFmtId="168" fontId="11" fillId="2" borderId="89" xfId="0" applyNumberFormat="1" applyFont="1" applyFill="1" applyBorder="1" applyAlignment="1">
      <alignment horizontal="center" vertical="center" wrapText="1"/>
    </xf>
    <xf numFmtId="0" fontId="11" fillId="0" borderId="91" xfId="0" applyFont="1" applyBorder="1" applyAlignment="1">
      <alignment horizontal="center" vertical="center" wrapText="1"/>
    </xf>
    <xf numFmtId="0" fontId="11" fillId="2" borderId="49" xfId="0" applyFont="1" applyFill="1" applyBorder="1" applyAlignment="1">
      <alignment horizontal="center" vertical="center" wrapText="1"/>
    </xf>
    <xf numFmtId="0" fontId="31" fillId="2" borderId="49" xfId="0" applyFont="1" applyFill="1" applyBorder="1" applyAlignment="1">
      <alignment horizontal="center" vertical="center"/>
    </xf>
    <xf numFmtId="168" fontId="11" fillId="2" borderId="87" xfId="0" applyNumberFormat="1" applyFont="1" applyFill="1" applyBorder="1" applyAlignment="1">
      <alignment horizontal="center" vertical="center" wrapText="1"/>
    </xf>
    <xf numFmtId="168" fontId="11" fillId="2" borderId="20" xfId="0" applyNumberFormat="1" applyFont="1" applyFill="1" applyBorder="1" applyAlignment="1">
      <alignment horizontal="center" vertical="center" wrapText="1"/>
    </xf>
    <xf numFmtId="0" fontId="11" fillId="2" borderId="20" xfId="0" applyFont="1" applyFill="1" applyBorder="1" applyAlignment="1">
      <alignment horizontal="center" vertical="center" wrapText="1"/>
    </xf>
    <xf numFmtId="0" fontId="11" fillId="12" borderId="28" xfId="4" applyFont="1" applyFill="1" applyBorder="1" applyAlignment="1">
      <alignment horizontal="center" vertical="center" wrapText="1"/>
    </xf>
    <xf numFmtId="49" fontId="12" fillId="18" borderId="41" xfId="4" applyNumberFormat="1" applyFont="1" applyFill="1" applyBorder="1" applyAlignment="1">
      <alignment horizontal="center" vertical="center" wrapText="1"/>
    </xf>
    <xf numFmtId="49" fontId="11" fillId="18" borderId="41" xfId="4" applyNumberFormat="1" applyFont="1" applyFill="1" applyBorder="1" applyAlignment="1">
      <alignment horizontal="center" vertical="center" wrapText="1"/>
    </xf>
    <xf numFmtId="1" fontId="12" fillId="18" borderId="41" xfId="4" applyNumberFormat="1" applyFont="1" applyFill="1" applyBorder="1" applyAlignment="1">
      <alignment horizontal="center" vertical="center" wrapText="1"/>
    </xf>
    <xf numFmtId="2" fontId="12" fillId="18" borderId="41" xfId="4" applyNumberFormat="1" applyFont="1" applyFill="1" applyBorder="1" applyAlignment="1">
      <alignment horizontal="center" vertical="center" wrapText="1"/>
    </xf>
    <xf numFmtId="166" fontId="12" fillId="18" borderId="41" xfId="4" applyNumberFormat="1" applyFont="1" applyFill="1" applyBorder="1" applyAlignment="1">
      <alignment horizontal="center" vertical="center" wrapText="1"/>
    </xf>
    <xf numFmtId="167" fontId="12" fillId="18" borderId="41" xfId="4" applyNumberFormat="1" applyFont="1" applyFill="1" applyBorder="1" applyAlignment="1">
      <alignment horizontal="center" vertical="center" wrapText="1"/>
    </xf>
    <xf numFmtId="169" fontId="12" fillId="18" borderId="41" xfId="4" applyNumberFormat="1" applyFont="1" applyFill="1" applyBorder="1" applyAlignment="1">
      <alignment horizontal="center" vertical="center" wrapText="1"/>
    </xf>
    <xf numFmtId="9" fontId="12" fillId="18" borderId="26" xfId="4" applyNumberFormat="1" applyFont="1" applyFill="1" applyBorder="1" applyAlignment="1">
      <alignment horizontal="center" vertical="center" wrapText="1"/>
    </xf>
    <xf numFmtId="0" fontId="11" fillId="12" borderId="28" xfId="4" quotePrefix="1" applyFont="1" applyFill="1" applyBorder="1" applyAlignment="1">
      <alignment horizontal="center" vertical="center" wrapText="1"/>
    </xf>
    <xf numFmtId="49" fontId="28" fillId="2" borderId="33" xfId="0" applyNumberFormat="1" applyFont="1" applyFill="1" applyBorder="1" applyAlignment="1">
      <alignment horizontal="center" vertical="center"/>
    </xf>
    <xf numFmtId="2" fontId="11" fillId="2" borderId="92" xfId="0" applyNumberFormat="1" applyFont="1" applyFill="1" applyBorder="1" applyAlignment="1">
      <alignment horizontal="center" vertical="center" wrapText="1"/>
    </xf>
    <xf numFmtId="49" fontId="11" fillId="2" borderId="13" xfId="0" applyNumberFormat="1" applyFont="1" applyFill="1" applyBorder="1" applyAlignment="1">
      <alignment horizontal="center" vertical="center" wrapText="1"/>
    </xf>
    <xf numFmtId="2" fontId="11" fillId="2" borderId="93" xfId="0" applyNumberFormat="1" applyFont="1" applyFill="1" applyBorder="1" applyAlignment="1">
      <alignment horizontal="center" vertical="center" wrapText="1"/>
    </xf>
    <xf numFmtId="49" fontId="11" fillId="2" borderId="19" xfId="0" applyNumberFormat="1" applyFont="1" applyFill="1" applyBorder="1" applyAlignment="1">
      <alignment horizontal="center" vertical="center" wrapText="1"/>
    </xf>
    <xf numFmtId="2" fontId="11" fillId="2" borderId="91" xfId="0" applyNumberFormat="1" applyFont="1" applyFill="1" applyBorder="1" applyAlignment="1">
      <alignment horizontal="center" vertical="center" wrapText="1"/>
    </xf>
    <xf numFmtId="2" fontId="11" fillId="2" borderId="90" xfId="0" applyNumberFormat="1" applyFont="1" applyFill="1" applyBorder="1" applyAlignment="1">
      <alignment horizontal="center" vertical="center" wrapText="1"/>
    </xf>
    <xf numFmtId="166" fontId="11" fillId="2" borderId="20" xfId="0" applyNumberFormat="1" applyFont="1" applyFill="1" applyBorder="1" applyAlignment="1">
      <alignment horizontal="center" vertical="center" wrapText="1"/>
    </xf>
    <xf numFmtId="49" fontId="11" fillId="0" borderId="0" xfId="0" applyNumberFormat="1" applyFont="1" applyFill="1" applyAlignment="1">
      <alignment horizontal="center" vertical="center" wrapText="1"/>
    </xf>
    <xf numFmtId="167" fontId="11" fillId="2" borderId="33" xfId="0" applyNumberFormat="1" applyFont="1" applyFill="1" applyBorder="1" applyAlignment="1">
      <alignment horizontal="center" vertical="center" wrapText="1"/>
    </xf>
    <xf numFmtId="167" fontId="11" fillId="2" borderId="26" xfId="0" applyNumberFormat="1" applyFont="1" applyFill="1" applyBorder="1" applyAlignment="1">
      <alignment horizontal="center" vertical="center" wrapText="1"/>
    </xf>
    <xf numFmtId="0" fontId="11" fillId="0" borderId="20" xfId="0" applyFont="1" applyBorder="1" applyAlignment="1">
      <alignment horizontal="center" vertical="center" wrapText="1"/>
    </xf>
    <xf numFmtId="0" fontId="11" fillId="2" borderId="69" xfId="0" applyFont="1" applyFill="1" applyBorder="1" applyAlignment="1">
      <alignment horizontal="center" vertical="center" wrapText="1"/>
    </xf>
    <xf numFmtId="0" fontId="31" fillId="2" borderId="69" xfId="0" applyFont="1" applyFill="1" applyBorder="1" applyAlignment="1">
      <alignment horizontal="center" vertical="center"/>
    </xf>
    <xf numFmtId="49" fontId="11" fillId="18" borderId="26" xfId="4" applyNumberFormat="1" applyFont="1" applyFill="1" applyBorder="1" applyAlignment="1">
      <alignment horizontal="center" vertical="center" wrapText="1"/>
    </xf>
    <xf numFmtId="0" fontId="11" fillId="17" borderId="28" xfId="4" quotePrefix="1" applyFont="1" applyFill="1" applyBorder="1" applyAlignment="1">
      <alignment horizontal="center" vertical="center" wrapText="1"/>
    </xf>
    <xf numFmtId="166" fontId="12" fillId="18" borderId="30" xfId="4" applyNumberFormat="1" applyFont="1" applyFill="1" applyBorder="1" applyAlignment="1">
      <alignment horizontal="center" vertical="center" wrapText="1"/>
    </xf>
    <xf numFmtId="2" fontId="12" fillId="18" borderId="39" xfId="4" applyNumberFormat="1" applyFont="1" applyFill="1" applyBorder="1" applyAlignment="1">
      <alignment horizontal="center" vertical="center" wrapText="1"/>
    </xf>
    <xf numFmtId="4" fontId="12" fillId="18" borderId="26" xfId="4" applyNumberFormat="1" applyFont="1" applyFill="1" applyBorder="1" applyAlignment="1">
      <alignment horizontal="center" vertical="center" wrapText="1"/>
    </xf>
    <xf numFmtId="0" fontId="11" fillId="0" borderId="28" xfId="0" applyFont="1" applyFill="1" applyBorder="1" applyAlignment="1">
      <alignment horizontal="center" vertical="center" wrapText="1"/>
    </xf>
    <xf numFmtId="0" fontId="18" fillId="0" borderId="33" xfId="1" applyFont="1" applyBorder="1" applyAlignment="1">
      <alignment horizontal="center" vertical="center" wrapText="1"/>
    </xf>
    <xf numFmtId="164" fontId="11" fillId="20" borderId="40" xfId="0" applyNumberFormat="1" applyFont="1" applyFill="1" applyBorder="1" applyAlignment="1">
      <alignment horizontal="center" vertical="center" wrapText="1"/>
    </xf>
    <xf numFmtId="164" fontId="11" fillId="7" borderId="38" xfId="0" applyNumberFormat="1" applyFont="1" applyFill="1" applyBorder="1" applyAlignment="1">
      <alignment horizontal="center" vertical="center" wrapText="1"/>
    </xf>
    <xf numFmtId="3" fontId="11" fillId="2" borderId="38" xfId="0" applyNumberFormat="1" applyFont="1" applyFill="1" applyBorder="1" applyAlignment="1">
      <alignment horizontal="center" vertical="center"/>
    </xf>
    <xf numFmtId="164" fontId="28" fillId="2" borderId="38" xfId="0" applyNumberFormat="1" applyFont="1" applyFill="1" applyBorder="1" applyAlignment="1">
      <alignment horizontal="center" vertical="center"/>
    </xf>
    <xf numFmtId="49" fontId="38" fillId="17" borderId="22" xfId="4" applyNumberFormat="1" applyFont="1" applyFill="1" applyBorder="1" applyAlignment="1">
      <alignment horizontal="center" vertical="center" wrapText="1"/>
    </xf>
    <xf numFmtId="0" fontId="39" fillId="18" borderId="22" xfId="4" applyFont="1" applyFill="1" applyBorder="1" applyAlignment="1">
      <alignment vertical="center" wrapText="1"/>
    </xf>
    <xf numFmtId="49" fontId="39" fillId="18" borderId="22" xfId="4" applyNumberFormat="1" applyFont="1" applyFill="1" applyBorder="1" applyAlignment="1">
      <alignment horizontal="center" vertical="center" wrapText="1"/>
    </xf>
    <xf numFmtId="49" fontId="38" fillId="18" borderId="22" xfId="4" applyNumberFormat="1" applyFont="1" applyFill="1" applyBorder="1" applyAlignment="1">
      <alignment horizontal="center" vertical="center" wrapText="1"/>
    </xf>
    <xf numFmtId="1" fontId="39" fillId="18" borderId="22" xfId="4" applyNumberFormat="1" applyFont="1" applyFill="1" applyBorder="1" applyAlignment="1">
      <alignment horizontal="center" vertical="center" wrapText="1"/>
    </xf>
    <xf numFmtId="2" fontId="39" fillId="18" borderId="22" xfId="4" applyNumberFormat="1" applyFont="1" applyFill="1" applyBorder="1" applyAlignment="1">
      <alignment horizontal="center" vertical="center" wrapText="1"/>
    </xf>
    <xf numFmtId="4" fontId="39" fillId="18" borderId="22" xfId="4" applyNumberFormat="1" applyFont="1" applyFill="1" applyBorder="1" applyAlignment="1">
      <alignment horizontal="center" vertical="center" wrapText="1"/>
    </xf>
    <xf numFmtId="169" fontId="39" fillId="18" borderId="22" xfId="4" applyNumberFormat="1" applyFont="1" applyFill="1" applyBorder="1" applyAlignment="1">
      <alignment horizontal="center" vertical="center" wrapText="1"/>
    </xf>
    <xf numFmtId="3" fontId="39" fillId="18" borderId="22" xfId="4" applyNumberFormat="1" applyFont="1" applyFill="1" applyBorder="1" applyAlignment="1">
      <alignment horizontal="center" vertical="center" wrapText="1"/>
    </xf>
    <xf numFmtId="9" fontId="39" fillId="18" borderId="22" xfId="4" applyNumberFormat="1" applyFont="1" applyFill="1" applyBorder="1" applyAlignment="1">
      <alignment horizontal="center" vertical="center" wrapText="1"/>
    </xf>
    <xf numFmtId="3" fontId="38" fillId="18" borderId="22" xfId="4" applyNumberFormat="1" applyFont="1" applyFill="1" applyBorder="1" applyAlignment="1">
      <alignment horizontal="center" vertical="center" wrapText="1"/>
    </xf>
    <xf numFmtId="0" fontId="40" fillId="0" borderId="0" xfId="0" applyFont="1"/>
    <xf numFmtId="164" fontId="11" fillId="2" borderId="28" xfId="0" applyNumberFormat="1" applyFont="1" applyFill="1" applyBorder="1" applyAlignment="1">
      <alignment horizontal="left" vertical="center"/>
    </xf>
    <xf numFmtId="0" fontId="2" fillId="0" borderId="33" xfId="0" applyFont="1" applyBorder="1"/>
    <xf numFmtId="0" fontId="2" fillId="0" borderId="26" xfId="0" applyFont="1" applyBorder="1"/>
    <xf numFmtId="0" fontId="18" fillId="0" borderId="51" xfId="1" applyFont="1" applyBorder="1" applyAlignment="1">
      <alignment horizontal="center" vertical="center" wrapText="1"/>
    </xf>
    <xf numFmtId="49" fontId="18" fillId="11" borderId="41" xfId="1" applyNumberFormat="1" applyFont="1" applyFill="1" applyBorder="1" applyAlignment="1">
      <alignment horizontal="center" vertical="center" wrapText="1"/>
    </xf>
    <xf numFmtId="2" fontId="18" fillId="11" borderId="41" xfId="1" applyNumberFormat="1" applyFont="1" applyFill="1" applyBorder="1" applyAlignment="1">
      <alignment horizontal="center" vertical="center" wrapText="1"/>
    </xf>
    <xf numFmtId="166" fontId="18" fillId="11" borderId="41" xfId="1" applyNumberFormat="1" applyFont="1" applyFill="1" applyBorder="1" applyAlignment="1">
      <alignment horizontal="center" vertical="center" wrapText="1"/>
    </xf>
    <xf numFmtId="3" fontId="18" fillId="11" borderId="41" xfId="1" applyNumberFormat="1" applyFont="1" applyFill="1" applyBorder="1" applyAlignment="1">
      <alignment horizontal="center" vertical="center" wrapText="1"/>
    </xf>
    <xf numFmtId="2" fontId="20" fillId="11" borderId="41" xfId="1" applyNumberFormat="1" applyFont="1" applyFill="1" applyBorder="1" applyAlignment="1">
      <alignment horizontal="center" vertical="center" wrapText="1"/>
    </xf>
    <xf numFmtId="0" fontId="11" fillId="0" borderId="38" xfId="0" applyFont="1" applyBorder="1" applyAlignment="1">
      <alignment horizontal="center" vertical="center" wrapText="1"/>
    </xf>
    <xf numFmtId="0" fontId="2" fillId="0" borderId="20" xfId="0" applyFont="1" applyBorder="1"/>
    <xf numFmtId="0" fontId="11" fillId="2" borderId="38" xfId="0" applyFont="1" applyFill="1" applyBorder="1" applyAlignment="1">
      <alignment horizontal="center" vertical="center" wrapText="1"/>
    </xf>
    <xf numFmtId="0" fontId="31" fillId="2" borderId="38" xfId="0" applyFont="1" applyFill="1" applyBorder="1" applyAlignment="1">
      <alignment horizontal="center" vertical="center"/>
    </xf>
    <xf numFmtId="49" fontId="11" fillId="2" borderId="38" xfId="0" applyNumberFormat="1" applyFont="1" applyFill="1" applyBorder="1" applyAlignment="1">
      <alignment horizontal="center" vertical="center" wrapText="1"/>
    </xf>
    <xf numFmtId="167" fontId="11" fillId="2" borderId="28" xfId="0" applyNumberFormat="1" applyFont="1" applyFill="1" applyBorder="1" applyAlignment="1">
      <alignment horizontal="center" vertical="center" wrapText="1"/>
    </xf>
    <xf numFmtId="168" fontId="11" fillId="2" borderId="38" xfId="0" applyNumberFormat="1" applyFont="1" applyFill="1" applyBorder="1" applyAlignment="1">
      <alignment horizontal="center" vertical="center" wrapText="1"/>
    </xf>
    <xf numFmtId="164" fontId="1" fillId="2" borderId="40" xfId="0" applyNumberFormat="1" applyFont="1" applyFill="1" applyBorder="1" applyAlignment="1">
      <alignment horizontal="center" vertical="center"/>
    </xf>
    <xf numFmtId="0" fontId="2" fillId="0" borderId="40" xfId="0" applyFont="1" applyBorder="1"/>
    <xf numFmtId="164" fontId="3" fillId="2" borderId="40" xfId="0" applyNumberFormat="1" applyFont="1" applyFill="1" applyBorder="1" applyAlignment="1">
      <alignment horizontal="center" vertical="top"/>
    </xf>
    <xf numFmtId="0" fontId="2" fillId="0" borderId="40" xfId="0" applyFont="1" applyBorder="1" applyAlignment="1">
      <alignment vertical="top"/>
    </xf>
    <xf numFmtId="49" fontId="11" fillId="2" borderId="41" xfId="0" applyNumberFormat="1" applyFont="1" applyFill="1" applyBorder="1" applyAlignment="1">
      <alignment horizontal="center" vertical="center" wrapText="1"/>
    </xf>
    <xf numFmtId="0" fontId="2" fillId="0" borderId="41" xfId="0" applyFont="1" applyBorder="1"/>
    <xf numFmtId="2" fontId="11" fillId="2" borderId="41" xfId="0" applyNumberFormat="1" applyFont="1" applyFill="1" applyBorder="1" applyAlignment="1">
      <alignment horizontal="center" vertical="center" wrapText="1"/>
    </xf>
    <xf numFmtId="165" fontId="11" fillId="2" borderId="41" xfId="0" applyNumberFormat="1" applyFont="1" applyFill="1" applyBorder="1" applyAlignment="1">
      <alignment horizontal="center" vertical="center" wrapText="1"/>
    </xf>
    <xf numFmtId="3" fontId="11" fillId="2" borderId="41" xfId="0" applyNumberFormat="1" applyFont="1" applyFill="1" applyBorder="1" applyAlignment="1">
      <alignment horizontal="center" vertical="center" wrapText="1"/>
    </xf>
    <xf numFmtId="49" fontId="18" fillId="11" borderId="58" xfId="1" applyNumberFormat="1" applyFont="1" applyFill="1" applyBorder="1" applyAlignment="1">
      <alignment horizontal="center" vertical="center" wrapText="1"/>
    </xf>
    <xf numFmtId="49" fontId="18" fillId="11" borderId="63" xfId="1" applyNumberFormat="1" applyFont="1" applyFill="1" applyBorder="1" applyAlignment="1">
      <alignment horizontal="center" vertical="center" wrapText="1"/>
    </xf>
    <xf numFmtId="2" fontId="18" fillId="11" borderId="59" xfId="1" applyNumberFormat="1" applyFont="1" applyFill="1" applyBorder="1" applyAlignment="1">
      <alignment horizontal="center" vertical="center" wrapText="1"/>
    </xf>
    <xf numFmtId="2" fontId="18" fillId="11" borderId="49" xfId="1" applyNumberFormat="1" applyFont="1" applyFill="1" applyBorder="1" applyAlignment="1">
      <alignment horizontal="center" vertical="center" wrapText="1"/>
    </xf>
    <xf numFmtId="2" fontId="18" fillId="11" borderId="55" xfId="1" applyNumberFormat="1" applyFont="1" applyFill="1" applyBorder="1" applyAlignment="1">
      <alignment horizontal="center" vertical="center" wrapText="1"/>
    </xf>
    <xf numFmtId="2" fontId="18" fillId="11" borderId="52" xfId="1" applyNumberFormat="1" applyFont="1" applyFill="1" applyBorder="1" applyAlignment="1">
      <alignment horizontal="center" vertical="center" wrapText="1"/>
    </xf>
    <xf numFmtId="2" fontId="18" fillId="11" borderId="57" xfId="1" applyNumberFormat="1" applyFont="1" applyFill="1" applyBorder="1" applyAlignment="1">
      <alignment horizontal="center" vertical="center" wrapText="1"/>
    </xf>
    <xf numFmtId="2" fontId="18" fillId="11" borderId="60" xfId="1" applyNumberFormat="1" applyFont="1" applyFill="1" applyBorder="1" applyAlignment="1">
      <alignment horizontal="center" vertical="center" wrapText="1"/>
    </xf>
    <xf numFmtId="2" fontId="18" fillId="11" borderId="64" xfId="1" applyNumberFormat="1" applyFont="1" applyFill="1" applyBorder="1" applyAlignment="1">
      <alignment horizontal="center" vertical="center" wrapText="1"/>
    </xf>
    <xf numFmtId="49" fontId="18" fillId="11" borderId="54" xfId="1" applyNumberFormat="1" applyFont="1" applyFill="1" applyBorder="1" applyAlignment="1">
      <alignment horizontal="center" vertical="center" wrapText="1"/>
    </xf>
    <xf numFmtId="49" fontId="18" fillId="11" borderId="56" xfId="1" applyNumberFormat="1" applyFont="1" applyFill="1" applyBorder="1" applyAlignment="1">
      <alignment horizontal="center" vertical="center" wrapText="1"/>
    </xf>
    <xf numFmtId="166" fontId="18" fillId="11" borderId="54" xfId="1" applyNumberFormat="1" applyFont="1" applyFill="1" applyBorder="1" applyAlignment="1">
      <alignment horizontal="center" vertical="center" wrapText="1"/>
    </xf>
    <xf numFmtId="166" fontId="18" fillId="11" borderId="56" xfId="1" applyNumberFormat="1" applyFont="1" applyFill="1" applyBorder="1" applyAlignment="1">
      <alignment horizontal="center" vertical="center" wrapText="1"/>
    </xf>
    <xf numFmtId="2" fontId="18" fillId="11" borderId="61" xfId="1" applyNumberFormat="1" applyFont="1" applyFill="1" applyBorder="1" applyAlignment="1">
      <alignment horizontal="center" vertical="center" wrapText="1"/>
    </xf>
    <xf numFmtId="2" fontId="18" fillId="11" borderId="65" xfId="1" applyNumberFormat="1" applyFont="1" applyFill="1" applyBorder="1" applyAlignment="1">
      <alignment horizontal="center" vertical="center" wrapText="1"/>
    </xf>
    <xf numFmtId="3" fontId="18" fillId="11" borderId="59" xfId="1" applyNumberFormat="1" applyFont="1" applyFill="1" applyBorder="1" applyAlignment="1">
      <alignment horizontal="center" vertical="center" wrapText="1"/>
    </xf>
    <xf numFmtId="3" fontId="18" fillId="11" borderId="49" xfId="1" applyNumberFormat="1" applyFont="1" applyFill="1" applyBorder="1" applyAlignment="1">
      <alignment horizontal="center" vertical="center" wrapText="1"/>
    </xf>
    <xf numFmtId="2" fontId="18" fillId="11" borderId="62" xfId="1" applyNumberFormat="1" applyFont="1" applyFill="1" applyBorder="1" applyAlignment="1">
      <alignment horizontal="center" vertical="center" wrapText="1"/>
    </xf>
    <xf numFmtId="2" fontId="18" fillId="11" borderId="66" xfId="1" applyNumberFormat="1" applyFont="1" applyFill="1" applyBorder="1" applyAlignment="1">
      <alignment horizontal="center" vertical="center" wrapText="1"/>
    </xf>
    <xf numFmtId="49" fontId="11" fillId="2" borderId="15" xfId="0" applyNumberFormat="1" applyFont="1" applyFill="1" applyBorder="1" applyAlignment="1">
      <alignment horizontal="center" vertical="center" wrapText="1"/>
    </xf>
    <xf numFmtId="0" fontId="2" fillId="0" borderId="19" xfId="0" applyFont="1" applyBorder="1"/>
    <xf numFmtId="2" fontId="11" fillId="2" borderId="38" xfId="0" applyNumberFormat="1" applyFont="1" applyFill="1" applyBorder="1" applyAlignment="1">
      <alignment horizontal="center" vertical="center" wrapText="1"/>
    </xf>
    <xf numFmtId="2" fontId="11" fillId="2" borderId="28" xfId="0" applyNumberFormat="1" applyFont="1" applyFill="1" applyBorder="1" applyAlignment="1">
      <alignment horizontal="center" vertical="center" wrapText="1"/>
    </xf>
    <xf numFmtId="49" fontId="11" fillId="2" borderId="28" xfId="0" applyNumberFormat="1" applyFont="1" applyFill="1" applyBorder="1" applyAlignment="1">
      <alignment horizontal="center" vertical="center" wrapText="1"/>
    </xf>
    <xf numFmtId="166" fontId="11" fillId="2" borderId="38" xfId="0" applyNumberFormat="1" applyFont="1" applyFill="1" applyBorder="1" applyAlignment="1">
      <alignment horizontal="center" vertical="center" wrapText="1"/>
    </xf>
    <xf numFmtId="3" fontId="11" fillId="2" borderId="38" xfId="0" applyNumberFormat="1" applyFont="1" applyFill="1" applyBorder="1" applyAlignment="1">
      <alignment horizontal="center" vertical="center" wrapText="1"/>
    </xf>
    <xf numFmtId="2" fontId="11" fillId="2" borderId="27" xfId="0" applyNumberFormat="1" applyFont="1" applyFill="1" applyBorder="1" applyAlignment="1">
      <alignment horizontal="center" vertical="center" wrapText="1"/>
    </xf>
    <xf numFmtId="0" fontId="2" fillId="0" borderId="24" xfId="0" applyFont="1" applyBorder="1"/>
    <xf numFmtId="164" fontId="3" fillId="2" borderId="40" xfId="0" applyNumberFormat="1" applyFont="1" applyFill="1" applyBorder="1" applyAlignment="1">
      <alignment horizontal="center" vertical="center"/>
    </xf>
    <xf numFmtId="49" fontId="11" fillId="2" borderId="5" xfId="0" applyNumberFormat="1" applyFont="1" applyFill="1" applyBorder="1" applyAlignment="1">
      <alignment horizontal="center" vertical="center" wrapText="1"/>
    </xf>
    <xf numFmtId="0" fontId="2" fillId="0" borderId="13" xfId="0" applyFont="1" applyBorder="1"/>
    <xf numFmtId="2" fontId="11" fillId="2" borderId="6" xfId="0" applyNumberFormat="1" applyFont="1" applyFill="1" applyBorder="1" applyAlignment="1">
      <alignment horizontal="center" vertical="center" wrapText="1"/>
    </xf>
    <xf numFmtId="0" fontId="2" fillId="0" borderId="34" xfId="0" applyFont="1" applyBorder="1"/>
    <xf numFmtId="2" fontId="11" fillId="2" borderId="7" xfId="0" applyNumberFormat="1" applyFont="1" applyFill="1" applyBorder="1" applyAlignment="1">
      <alignment horizontal="center" vertical="center" wrapText="1"/>
    </xf>
    <xf numFmtId="0" fontId="2" fillId="0" borderId="14" xfId="0" applyFont="1" applyBorder="1"/>
    <xf numFmtId="0" fontId="2" fillId="0" borderId="21" xfId="0" applyFont="1" applyBorder="1"/>
    <xf numFmtId="2" fontId="11" fillId="2" borderId="8" xfId="0" applyNumberFormat="1" applyFont="1" applyFill="1" applyBorder="1" applyAlignment="1">
      <alignment horizontal="center" vertical="center" wrapText="1"/>
    </xf>
    <xf numFmtId="0" fontId="2" fillId="0" borderId="9" xfId="0" applyFont="1" applyBorder="1"/>
    <xf numFmtId="0" fontId="2" fillId="0" borderId="10" xfId="0" applyFont="1" applyBorder="1"/>
    <xf numFmtId="165" fontId="11" fillId="2" borderId="11" xfId="0" applyNumberFormat="1" applyFont="1" applyFill="1" applyBorder="1" applyAlignment="1">
      <alignment horizontal="center" vertical="center" wrapText="1"/>
    </xf>
    <xf numFmtId="0" fontId="2" fillId="0" borderId="17" xfId="0" applyFont="1" applyBorder="1"/>
    <xf numFmtId="0" fontId="2" fillId="0" borderId="35" xfId="0" applyFont="1" applyBorder="1"/>
    <xf numFmtId="165" fontId="11" fillId="2" borderId="6" xfId="0" applyNumberFormat="1" applyFont="1" applyFill="1" applyBorder="1" applyAlignment="1">
      <alignment horizontal="center" vertical="center" wrapText="1"/>
    </xf>
    <xf numFmtId="3" fontId="11" fillId="2" borderId="6" xfId="0" applyNumberFormat="1" applyFont="1" applyFill="1" applyBorder="1" applyAlignment="1">
      <alignment horizontal="center" vertical="center" wrapText="1"/>
    </xf>
    <xf numFmtId="2" fontId="11" fillId="2" borderId="12" xfId="0" applyNumberFormat="1" applyFont="1" applyFill="1" applyBorder="1" applyAlignment="1">
      <alignment horizontal="center" vertical="center" wrapText="1"/>
    </xf>
    <xf numFmtId="0" fontId="2" fillId="0" borderId="18" xfId="0" applyFont="1" applyBorder="1"/>
    <xf numFmtId="2" fontId="11" fillId="2" borderId="15" xfId="0" applyNumberFormat="1" applyFont="1" applyFill="1" applyBorder="1" applyAlignment="1">
      <alignment horizontal="center" vertical="center" wrapText="1"/>
    </xf>
    <xf numFmtId="0" fontId="2" fillId="0" borderId="16" xfId="0" applyFont="1" applyBorder="1"/>
    <xf numFmtId="164" fontId="1" fillId="0" borderId="40" xfId="0" applyNumberFormat="1" applyFont="1" applyBorder="1" applyAlignment="1">
      <alignment horizontal="center"/>
    </xf>
    <xf numFmtId="2" fontId="20" fillId="11" borderId="62" xfId="1" applyNumberFormat="1" applyFont="1" applyFill="1" applyBorder="1" applyAlignment="1">
      <alignment horizontal="center" vertical="center" wrapText="1"/>
    </xf>
    <xf numFmtId="2" fontId="20" fillId="11" borderId="66" xfId="1" applyNumberFormat="1" applyFont="1" applyFill="1" applyBorder="1" applyAlignment="1">
      <alignment horizontal="center" vertical="center" wrapText="1"/>
    </xf>
    <xf numFmtId="0" fontId="11" fillId="0" borderId="34" xfId="0" applyFont="1" applyBorder="1" applyAlignment="1">
      <alignment horizontal="center" vertical="center" wrapText="1"/>
    </xf>
    <xf numFmtId="0" fontId="11" fillId="2" borderId="34" xfId="0" applyFont="1" applyFill="1" applyBorder="1" applyAlignment="1">
      <alignment horizontal="center" vertical="center" wrapText="1"/>
    </xf>
    <xf numFmtId="0" fontId="31" fillId="2" borderId="34" xfId="0" applyFont="1" applyFill="1" applyBorder="1" applyAlignment="1">
      <alignment horizontal="center" vertical="center"/>
    </xf>
    <xf numFmtId="49" fontId="11" fillId="2" borderId="34" xfId="0" applyNumberFormat="1" applyFont="1" applyFill="1" applyBorder="1" applyAlignment="1">
      <alignment horizontal="center" vertical="center" wrapText="1"/>
    </xf>
    <xf numFmtId="167" fontId="11" fillId="2" borderId="21" xfId="0" applyNumberFormat="1" applyFont="1" applyFill="1" applyBorder="1" applyAlignment="1">
      <alignment horizontal="center" vertical="center" wrapText="1"/>
    </xf>
    <xf numFmtId="0" fontId="2" fillId="0" borderId="47" xfId="0" applyFont="1" applyBorder="1"/>
    <xf numFmtId="168" fontId="11" fillId="2" borderId="34" xfId="0" applyNumberFormat="1" applyFont="1" applyFill="1" applyBorder="1" applyAlignment="1">
      <alignment horizontal="center" vertical="center" wrapText="1"/>
    </xf>
    <xf numFmtId="2" fontId="20" fillId="11" borderId="67" xfId="1" applyNumberFormat="1" applyFont="1" applyFill="1" applyBorder="1" applyAlignment="1">
      <alignment horizontal="center" vertical="center" wrapText="1"/>
    </xf>
    <xf numFmtId="49" fontId="20" fillId="11" borderId="59" xfId="1" applyNumberFormat="1" applyFont="1" applyFill="1" applyBorder="1" applyAlignment="1">
      <alignment horizontal="center" vertical="center" wrapText="1"/>
    </xf>
    <xf numFmtId="49" fontId="20" fillId="11" borderId="49" xfId="1" applyNumberFormat="1" applyFont="1" applyFill="1" applyBorder="1" applyAlignment="1">
      <alignment horizontal="center" vertical="center" wrapText="1"/>
    </xf>
    <xf numFmtId="166" fontId="20" fillId="11" borderId="59" xfId="1" applyNumberFormat="1" applyFont="1" applyFill="1" applyBorder="1" applyAlignment="1">
      <alignment horizontal="center" vertical="center" wrapText="1"/>
    </xf>
    <xf numFmtId="166" fontId="20" fillId="11" borderId="49" xfId="1" applyNumberFormat="1" applyFont="1" applyFill="1" applyBorder="1" applyAlignment="1">
      <alignment horizontal="center" vertical="center" wrapText="1"/>
    </xf>
    <xf numFmtId="4" fontId="20" fillId="11" borderId="62" xfId="1" applyNumberFormat="1" applyFont="1" applyFill="1" applyBorder="1" applyAlignment="1">
      <alignment horizontal="center" vertical="center" wrapText="1"/>
    </xf>
    <xf numFmtId="4" fontId="20" fillId="11" borderId="66" xfId="1" applyNumberFormat="1" applyFont="1" applyFill="1" applyBorder="1" applyAlignment="1">
      <alignment horizontal="center" vertical="center" wrapText="1"/>
    </xf>
    <xf numFmtId="49" fontId="11" fillId="2" borderId="43" xfId="0" applyNumberFormat="1" applyFont="1" applyFill="1" applyBorder="1" applyAlignment="1">
      <alignment horizontal="center" vertical="center" wrapText="1"/>
    </xf>
    <xf numFmtId="0" fontId="20" fillId="0" borderId="44" xfId="0" applyFont="1" applyBorder="1"/>
    <xf numFmtId="0" fontId="20" fillId="0" borderId="45" xfId="0" applyFont="1" applyBorder="1"/>
    <xf numFmtId="0" fontId="20" fillId="0" borderId="41" xfId="0" applyFont="1" applyBorder="1"/>
    <xf numFmtId="3" fontId="11" fillId="2" borderId="11" xfId="0" applyNumberFormat="1" applyFont="1" applyFill="1" applyBorder="1" applyAlignment="1">
      <alignment horizontal="center" vertical="center" wrapText="1"/>
    </xf>
    <xf numFmtId="0" fontId="20" fillId="0" borderId="17" xfId="0" applyFont="1" applyBorder="1"/>
    <xf numFmtId="0" fontId="20" fillId="0" borderId="35" xfId="0" applyFont="1" applyBorder="1"/>
    <xf numFmtId="0" fontId="20" fillId="0" borderId="34" xfId="0" applyFont="1" applyBorder="1"/>
    <xf numFmtId="0" fontId="20" fillId="0" borderId="20" xfId="0" applyFont="1" applyBorder="1"/>
    <xf numFmtId="0" fontId="20" fillId="0" borderId="18" xfId="0" applyFont="1" applyBorder="1"/>
    <xf numFmtId="0" fontId="20" fillId="0" borderId="24" xfId="0" applyFont="1" applyBorder="1"/>
    <xf numFmtId="49" fontId="4" fillId="2" borderId="15" xfId="0" applyNumberFormat="1" applyFont="1" applyFill="1" applyBorder="1" applyAlignment="1">
      <alignment horizontal="center" vertical="center" wrapText="1"/>
    </xf>
    <xf numFmtId="2" fontId="4" fillId="2" borderId="38" xfId="0" applyNumberFormat="1" applyFont="1" applyFill="1" applyBorder="1" applyAlignment="1">
      <alignment horizontal="center" vertical="center" wrapText="1"/>
    </xf>
    <xf numFmtId="2" fontId="4" fillId="2" borderId="28" xfId="0" applyNumberFormat="1" applyFont="1" applyFill="1" applyBorder="1" applyAlignment="1">
      <alignment horizontal="center" vertical="center" wrapText="1"/>
    </xf>
    <xf numFmtId="49" fontId="4" fillId="2" borderId="28" xfId="0" applyNumberFormat="1" applyFont="1" applyFill="1" applyBorder="1" applyAlignment="1">
      <alignment horizontal="center" vertical="center" wrapText="1"/>
    </xf>
    <xf numFmtId="49" fontId="4" fillId="2" borderId="38" xfId="0" applyNumberFormat="1" applyFont="1" applyFill="1" applyBorder="1" applyAlignment="1">
      <alignment horizontal="center" vertical="center" wrapText="1"/>
    </xf>
    <xf numFmtId="166" fontId="4" fillId="2" borderId="38" xfId="0" applyNumberFormat="1" applyFont="1" applyFill="1" applyBorder="1" applyAlignment="1">
      <alignment horizontal="center" vertical="center" wrapText="1"/>
    </xf>
    <xf numFmtId="3" fontId="4" fillId="2" borderId="38" xfId="0" applyNumberFormat="1" applyFont="1" applyFill="1" applyBorder="1" applyAlignment="1">
      <alignment horizontal="center" vertical="center" wrapText="1"/>
    </xf>
    <xf numFmtId="2" fontId="4" fillId="2" borderId="27" xfId="0" applyNumberFormat="1" applyFont="1" applyFill="1" applyBorder="1" applyAlignment="1">
      <alignment horizontal="center" vertical="center" wrapText="1"/>
    </xf>
    <xf numFmtId="49" fontId="4" fillId="2" borderId="5" xfId="0" applyNumberFormat="1" applyFont="1" applyFill="1" applyBorder="1" applyAlignment="1">
      <alignment horizontal="center" vertical="center" wrapText="1"/>
    </xf>
    <xf numFmtId="2" fontId="4" fillId="2" borderId="6" xfId="0" applyNumberFormat="1" applyFont="1" applyFill="1" applyBorder="1" applyAlignment="1">
      <alignment horizontal="center" vertical="center" wrapText="1"/>
    </xf>
    <xf numFmtId="2" fontId="4" fillId="2" borderId="7" xfId="0" applyNumberFormat="1" applyFont="1" applyFill="1" applyBorder="1" applyAlignment="1">
      <alignment horizontal="center" vertical="center" wrapText="1"/>
    </xf>
    <xf numFmtId="2" fontId="4" fillId="2" borderId="8" xfId="0" applyNumberFormat="1" applyFont="1" applyFill="1" applyBorder="1" applyAlignment="1">
      <alignment horizontal="center" vertical="center" wrapText="1"/>
    </xf>
    <xf numFmtId="165" fontId="4" fillId="2" borderId="11" xfId="0" applyNumberFormat="1" applyFont="1" applyFill="1" applyBorder="1" applyAlignment="1">
      <alignment horizontal="center" vertical="center" wrapText="1"/>
    </xf>
    <xf numFmtId="165" fontId="4" fillId="2" borderId="6" xfId="0" applyNumberFormat="1" applyFont="1" applyFill="1" applyBorder="1" applyAlignment="1">
      <alignment horizontal="center" vertical="center" wrapText="1"/>
    </xf>
    <xf numFmtId="3" fontId="4" fillId="2" borderId="6" xfId="0" applyNumberFormat="1" applyFont="1" applyFill="1" applyBorder="1" applyAlignment="1">
      <alignment horizontal="center" vertical="center" wrapText="1"/>
    </xf>
    <xf numFmtId="2" fontId="4" fillId="2" borderId="12" xfId="0" applyNumberFormat="1" applyFont="1" applyFill="1" applyBorder="1" applyAlignment="1">
      <alignment horizontal="center" vertical="center" wrapText="1"/>
    </xf>
    <xf numFmtId="2" fontId="4" fillId="2" borderId="15" xfId="0" applyNumberFormat="1" applyFont="1" applyFill="1" applyBorder="1" applyAlignment="1">
      <alignment horizontal="center" vertical="center" wrapText="1"/>
    </xf>
    <xf numFmtId="164" fontId="11" fillId="0" borderId="40" xfId="0" applyNumberFormat="1" applyFont="1" applyBorder="1" applyAlignment="1">
      <alignment horizontal="center"/>
    </xf>
    <xf numFmtId="164" fontId="11" fillId="2" borderId="40" xfId="0" applyNumberFormat="1" applyFont="1" applyFill="1" applyBorder="1" applyAlignment="1">
      <alignment horizontal="center" vertical="center"/>
    </xf>
    <xf numFmtId="164" fontId="37" fillId="2" borderId="40" xfId="0" applyNumberFormat="1" applyFont="1" applyFill="1" applyBorder="1" applyAlignment="1">
      <alignment horizontal="center" vertical="center"/>
    </xf>
    <xf numFmtId="0" fontId="20" fillId="11" borderId="59" xfId="1" applyFont="1" applyFill="1" applyBorder="1" applyAlignment="1">
      <alignment horizontal="center" vertical="center" wrapText="1"/>
    </xf>
    <xf numFmtId="0" fontId="20" fillId="11" borderId="49" xfId="1" applyFont="1" applyFill="1" applyBorder="1" applyAlignment="1">
      <alignment horizontal="center" vertical="center" wrapText="1"/>
    </xf>
    <xf numFmtId="2" fontId="18" fillId="11" borderId="78" xfId="1" applyNumberFormat="1" applyFont="1" applyFill="1" applyBorder="1" applyAlignment="1">
      <alignment horizontal="center" vertical="center" wrapText="1"/>
    </xf>
    <xf numFmtId="2" fontId="18" fillId="11" borderId="79" xfId="1" applyNumberFormat="1" applyFont="1" applyFill="1" applyBorder="1" applyAlignment="1">
      <alignment horizontal="center" vertical="center" wrapText="1"/>
    </xf>
    <xf numFmtId="2" fontId="11" fillId="2" borderId="75" xfId="0" applyNumberFormat="1" applyFont="1" applyFill="1" applyBorder="1" applyAlignment="1">
      <alignment horizontal="center" vertical="center" wrapText="1"/>
    </xf>
    <xf numFmtId="0" fontId="2" fillId="0" borderId="76" xfId="0" applyFont="1" applyBorder="1"/>
    <xf numFmtId="0" fontId="2" fillId="0" borderId="77" xfId="0" applyFont="1" applyBorder="1"/>
    <xf numFmtId="49" fontId="20" fillId="11" borderId="41" xfId="1" applyNumberFormat="1" applyFont="1" applyFill="1" applyBorder="1" applyAlignment="1">
      <alignment horizontal="center" vertical="center" wrapText="1"/>
    </xf>
    <xf numFmtId="166" fontId="20" fillId="11" borderId="41" xfId="1" applyNumberFormat="1" applyFont="1" applyFill="1" applyBorder="1" applyAlignment="1">
      <alignment horizontal="center" vertical="center" wrapText="1"/>
    </xf>
    <xf numFmtId="4" fontId="20" fillId="11" borderId="41" xfId="1" applyNumberFormat="1" applyFont="1" applyFill="1" applyBorder="1" applyAlignment="1">
      <alignment horizontal="center" vertical="center" wrapText="1"/>
    </xf>
    <xf numFmtId="0" fontId="32" fillId="2" borderId="38" xfId="0" applyFont="1" applyFill="1" applyBorder="1" applyAlignment="1">
      <alignment horizontal="center" vertical="center"/>
    </xf>
    <xf numFmtId="164" fontId="1" fillId="2" borderId="40" xfId="0" applyNumberFormat="1" applyFont="1" applyFill="1" applyBorder="1" applyAlignment="1">
      <alignment horizontal="center"/>
    </xf>
    <xf numFmtId="49" fontId="18" fillId="11" borderId="72" xfId="1" applyNumberFormat="1" applyFont="1" applyFill="1" applyBorder="1" applyAlignment="1">
      <alignment horizontal="center" vertical="center" wrapText="1"/>
    </xf>
    <xf numFmtId="49" fontId="18" fillId="11" borderId="73" xfId="1" applyNumberFormat="1" applyFont="1" applyFill="1" applyBorder="1" applyAlignment="1">
      <alignment horizontal="center" vertical="center" wrapText="1"/>
    </xf>
    <xf numFmtId="49" fontId="11" fillId="2" borderId="80" xfId="0" applyNumberFormat="1" applyFont="1" applyFill="1" applyBorder="1" applyAlignment="1">
      <alignment horizontal="center" vertical="center" wrapText="1"/>
    </xf>
    <xf numFmtId="49" fontId="11" fillId="2" borderId="81" xfId="0" applyNumberFormat="1" applyFont="1" applyFill="1" applyBorder="1" applyAlignment="1">
      <alignment horizontal="center" vertical="center" wrapText="1"/>
    </xf>
    <xf numFmtId="49" fontId="11" fillId="2" borderId="83" xfId="0" applyNumberFormat="1" applyFont="1" applyFill="1" applyBorder="1" applyAlignment="1">
      <alignment horizontal="center" vertical="center" wrapText="1"/>
    </xf>
    <xf numFmtId="2" fontId="11" fillId="2" borderId="59" xfId="0" applyNumberFormat="1" applyFont="1" applyFill="1" applyBorder="1" applyAlignment="1">
      <alignment horizontal="center" vertical="center" wrapText="1"/>
    </xf>
    <xf numFmtId="2" fontId="11" fillId="2" borderId="82" xfId="0" applyNumberFormat="1" applyFont="1" applyFill="1" applyBorder="1" applyAlignment="1">
      <alignment horizontal="center" vertical="center" wrapText="1"/>
    </xf>
    <xf numFmtId="2" fontId="11" fillId="2" borderId="49" xfId="0" applyNumberFormat="1" applyFont="1" applyFill="1" applyBorder="1" applyAlignment="1">
      <alignment horizontal="center" vertical="center" wrapText="1"/>
    </xf>
    <xf numFmtId="2" fontId="11" fillId="2" borderId="55" xfId="0" applyNumberFormat="1" applyFont="1" applyFill="1" applyBorder="1" applyAlignment="1">
      <alignment horizontal="center" vertical="center" wrapText="1"/>
    </xf>
    <xf numFmtId="2" fontId="11" fillId="2" borderId="52" xfId="0" applyNumberFormat="1" applyFont="1" applyFill="1" applyBorder="1" applyAlignment="1">
      <alignment horizontal="center" vertical="center" wrapText="1"/>
    </xf>
    <xf numFmtId="2" fontId="11" fillId="2" borderId="57" xfId="0" applyNumberFormat="1" applyFont="1" applyFill="1" applyBorder="1" applyAlignment="1">
      <alignment horizontal="center" vertical="center" wrapText="1"/>
    </xf>
    <xf numFmtId="165" fontId="11" fillId="2" borderId="59" xfId="0" applyNumberFormat="1" applyFont="1" applyFill="1" applyBorder="1" applyAlignment="1">
      <alignment horizontal="center" vertical="center" wrapText="1"/>
    </xf>
    <xf numFmtId="165" fontId="11" fillId="2" borderId="82" xfId="0" applyNumberFormat="1" applyFont="1" applyFill="1" applyBorder="1" applyAlignment="1">
      <alignment horizontal="center" vertical="center" wrapText="1"/>
    </xf>
    <xf numFmtId="165" fontId="11" fillId="2" borderId="49" xfId="0" applyNumberFormat="1" applyFont="1" applyFill="1" applyBorder="1" applyAlignment="1">
      <alignment horizontal="center" vertical="center" wrapText="1"/>
    </xf>
    <xf numFmtId="3" fontId="11" fillId="2" borderId="59" xfId="0" applyNumberFormat="1" applyFont="1" applyFill="1" applyBorder="1" applyAlignment="1">
      <alignment horizontal="center" vertical="center" wrapText="1"/>
    </xf>
    <xf numFmtId="3" fontId="11" fillId="2" borderId="82" xfId="0" applyNumberFormat="1" applyFont="1" applyFill="1" applyBorder="1" applyAlignment="1">
      <alignment horizontal="center" vertical="center" wrapText="1"/>
    </xf>
    <xf numFmtId="3" fontId="11" fillId="2" borderId="49" xfId="0" applyNumberFormat="1" applyFont="1" applyFill="1" applyBorder="1" applyAlignment="1">
      <alignment horizontal="center" vertical="center" wrapText="1"/>
    </xf>
    <xf numFmtId="49" fontId="11" fillId="2" borderId="59" xfId="0" applyNumberFormat="1" applyFont="1" applyFill="1" applyBorder="1" applyAlignment="1">
      <alignment horizontal="center" vertical="center" wrapText="1"/>
    </xf>
    <xf numFmtId="49" fontId="11" fillId="2" borderId="49" xfId="0" applyNumberFormat="1" applyFont="1" applyFill="1" applyBorder="1" applyAlignment="1">
      <alignment horizontal="center" vertical="center" wrapText="1"/>
    </xf>
    <xf numFmtId="164" fontId="11" fillId="2" borderId="39" xfId="0" applyNumberFormat="1" applyFont="1" applyFill="1" applyBorder="1" applyAlignment="1">
      <alignment horizontal="left" vertical="center"/>
    </xf>
    <xf numFmtId="164" fontId="11" fillId="2" borderId="50" xfId="0" applyNumberFormat="1" applyFont="1" applyFill="1" applyBorder="1" applyAlignment="1">
      <alignment horizontal="left" vertical="center"/>
    </xf>
    <xf numFmtId="164" fontId="11" fillId="2" borderId="37" xfId="0" applyNumberFormat="1" applyFont="1" applyFill="1" applyBorder="1" applyAlignment="1">
      <alignment horizontal="left" vertical="center"/>
    </xf>
    <xf numFmtId="2" fontId="17" fillId="11" borderId="62" xfId="1" applyNumberFormat="1" applyFont="1" applyFill="1" applyBorder="1" applyAlignment="1">
      <alignment horizontal="center" vertical="center" wrapText="1"/>
    </xf>
    <xf numFmtId="2" fontId="17" fillId="11" borderId="66" xfId="1" applyNumberFormat="1" applyFont="1" applyFill="1" applyBorder="1" applyAlignment="1">
      <alignment horizontal="center" vertical="center" wrapText="1"/>
    </xf>
    <xf numFmtId="0" fontId="2" fillId="0" borderId="44" xfId="0" applyFont="1" applyBorder="1"/>
    <xf numFmtId="0" fontId="2" fillId="0" borderId="45" xfId="0" applyFont="1" applyBorder="1"/>
    <xf numFmtId="2" fontId="4" fillId="18" borderId="28" xfId="4" applyNumberFormat="1" applyFont="1" applyFill="1" applyBorder="1" applyAlignment="1">
      <alignment horizontal="center" vertical="center" wrapText="1"/>
    </xf>
    <xf numFmtId="0" fontId="2" fillId="0" borderId="26" xfId="4" applyFont="1" applyBorder="1"/>
    <xf numFmtId="164" fontId="1" fillId="3" borderId="40" xfId="0" applyNumberFormat="1" applyFont="1" applyFill="1" applyBorder="1" applyAlignment="1">
      <alignment horizontal="center"/>
    </xf>
    <xf numFmtId="164" fontId="1" fillId="3" borderId="2" xfId="0" applyNumberFormat="1" applyFont="1" applyFill="1" applyBorder="1" applyAlignment="1">
      <alignment horizontal="center"/>
    </xf>
    <xf numFmtId="0" fontId="2" fillId="0" borderId="3" xfId="0" applyFont="1" applyBorder="1"/>
    <xf numFmtId="0" fontId="2" fillId="0" borderId="4" xfId="0" applyFont="1" applyBorder="1"/>
    <xf numFmtId="164" fontId="1" fillId="2" borderId="2" xfId="0" applyNumberFormat="1" applyFont="1" applyFill="1" applyBorder="1" applyAlignment="1">
      <alignment horizontal="center" vertical="center"/>
    </xf>
    <xf numFmtId="164" fontId="3" fillId="2" borderId="2" xfId="0" applyNumberFormat="1" applyFont="1" applyFill="1" applyBorder="1" applyAlignment="1">
      <alignment horizontal="center" vertical="center"/>
    </xf>
    <xf numFmtId="0" fontId="11" fillId="0" borderId="0" xfId="0" applyFont="1" applyAlignment="1">
      <alignment horizontal="center"/>
    </xf>
    <xf numFmtId="2" fontId="11" fillId="2" borderId="20" xfId="0" applyNumberFormat="1" applyFont="1" applyFill="1" applyBorder="1" applyAlignment="1">
      <alignment horizontal="center" vertical="center" wrapText="1"/>
    </xf>
    <xf numFmtId="2" fontId="11" fillId="2" borderId="24" xfId="0" applyNumberFormat="1" applyFont="1" applyFill="1" applyBorder="1" applyAlignment="1">
      <alignment horizontal="center" vertical="center" wrapText="1"/>
    </xf>
    <xf numFmtId="3" fontId="11" fillId="2" borderId="85" xfId="0" applyNumberFormat="1" applyFont="1" applyFill="1" applyBorder="1" applyAlignment="1">
      <alignment horizontal="center" vertical="center" wrapText="1"/>
    </xf>
    <xf numFmtId="3" fontId="11" fillId="2" borderId="86" xfId="0" applyNumberFormat="1" applyFont="1" applyFill="1" applyBorder="1" applyAlignment="1">
      <alignment horizontal="center" vertical="center" wrapText="1"/>
    </xf>
    <xf numFmtId="3" fontId="11" fillId="2" borderId="87" xfId="0" applyNumberFormat="1" applyFont="1" applyFill="1" applyBorder="1" applyAlignment="1">
      <alignment horizontal="center" vertical="center" wrapText="1"/>
    </xf>
    <xf numFmtId="3" fontId="11" fillId="2" borderId="34" xfId="0" applyNumberFormat="1" applyFont="1" applyFill="1" applyBorder="1" applyAlignment="1">
      <alignment horizontal="center" vertical="center" wrapText="1"/>
    </xf>
    <xf numFmtId="3" fontId="11" fillId="2" borderId="20" xfId="0" applyNumberFormat="1" applyFont="1" applyFill="1" applyBorder="1" applyAlignment="1">
      <alignment horizontal="center" vertical="center" wrapText="1"/>
    </xf>
    <xf numFmtId="2" fontId="11" fillId="2" borderId="34" xfId="0" applyNumberFormat="1" applyFont="1" applyFill="1" applyBorder="1" applyAlignment="1">
      <alignment horizontal="center" vertical="center" wrapText="1"/>
    </xf>
    <xf numFmtId="2" fontId="11" fillId="2" borderId="18" xfId="0" applyNumberFormat="1" applyFont="1" applyFill="1" applyBorder="1" applyAlignment="1">
      <alignment horizontal="center" vertical="center" wrapText="1"/>
    </xf>
    <xf numFmtId="3" fontId="11" fillId="2" borderId="89" xfId="0" applyNumberFormat="1" applyFont="1" applyFill="1" applyBorder="1" applyAlignment="1">
      <alignment horizontal="center" vertical="center" wrapText="1"/>
    </xf>
    <xf numFmtId="49" fontId="11" fillId="2" borderId="55" xfId="0" applyNumberFormat="1" applyFont="1" applyFill="1" applyBorder="1" applyAlignment="1">
      <alignment horizontal="center" vertical="center" wrapText="1"/>
    </xf>
    <xf numFmtId="49" fontId="11" fillId="2" borderId="52" xfId="0" applyNumberFormat="1" applyFont="1" applyFill="1" applyBorder="1" applyAlignment="1">
      <alignment horizontal="center" vertical="center" wrapText="1"/>
    </xf>
    <xf numFmtId="49" fontId="11" fillId="2" borderId="57" xfId="0" applyNumberFormat="1" applyFont="1" applyFill="1" applyBorder="1" applyAlignment="1">
      <alignment horizontal="center" vertical="center" wrapText="1"/>
    </xf>
    <xf numFmtId="166" fontId="11" fillId="2" borderId="55" xfId="0" applyNumberFormat="1" applyFont="1" applyFill="1" applyBorder="1" applyAlignment="1">
      <alignment horizontal="center" vertical="center" wrapText="1"/>
    </xf>
    <xf numFmtId="166" fontId="11" fillId="2" borderId="57" xfId="0" applyNumberFormat="1" applyFont="1" applyFill="1" applyBorder="1" applyAlignment="1">
      <alignment horizontal="center" vertical="center" wrapText="1"/>
    </xf>
    <xf numFmtId="164" fontId="1" fillId="2" borderId="2" xfId="0" applyNumberFormat="1" applyFont="1" applyFill="1" applyBorder="1" applyAlignment="1">
      <alignment horizontal="center"/>
    </xf>
    <xf numFmtId="164" fontId="1" fillId="2" borderId="50" xfId="0" applyNumberFormat="1" applyFont="1" applyFill="1" applyBorder="1" applyAlignment="1">
      <alignment horizontal="center"/>
    </xf>
  </cellXfs>
  <cellStyles count="5">
    <cellStyle name="Comma 3" xfId="3"/>
    <cellStyle name="Normal" xfId="0" builtinId="0"/>
    <cellStyle name="Normal 2" xfId="2"/>
    <cellStyle name="Normal 3" xfId="1"/>
    <cellStyle name="Normal 4"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79"/>
  <sheetViews>
    <sheetView tabSelected="1" view="pageBreakPreview" topLeftCell="B43" zoomScaleNormal="100" zoomScaleSheetLayoutView="100" workbookViewId="0">
      <selection activeCell="G6" sqref="G6:G7"/>
    </sheetView>
  </sheetViews>
  <sheetFormatPr defaultColWidth="10.09765625" defaultRowHeight="15" customHeight="1" x14ac:dyDescent="0.3"/>
  <cols>
    <col min="1" max="1" width="7.09765625" customWidth="1"/>
    <col min="2" max="2" width="26.8984375" customWidth="1"/>
    <col min="3" max="3" width="28.3984375" customWidth="1"/>
    <col min="4" max="4" width="7.8984375" customWidth="1"/>
    <col min="5" max="5" width="8.796875" customWidth="1"/>
    <col min="6" max="6" width="10.19921875" customWidth="1"/>
    <col min="7" max="7" width="9.59765625" customWidth="1"/>
    <col min="8" max="8" width="9.09765625" customWidth="1"/>
    <col min="9" max="9" width="9.69921875" style="129" customWidth="1"/>
    <col min="10" max="10" width="9.69921875" customWidth="1"/>
    <col min="11" max="11" width="9.8984375" customWidth="1"/>
    <col min="12" max="12" width="10.19921875" customWidth="1"/>
    <col min="13" max="13" width="9.296875" customWidth="1"/>
    <col min="14" max="14" width="12.296875" customWidth="1"/>
    <col min="15" max="15" width="9.69921875" customWidth="1"/>
    <col min="16" max="16" width="13.69921875" customWidth="1"/>
    <col min="17" max="17" width="13.796875" customWidth="1"/>
    <col min="18" max="18" width="11.19921875" customWidth="1"/>
    <col min="19" max="19" width="13.8984375" customWidth="1"/>
    <col min="20" max="20" width="20.3984375" customWidth="1"/>
    <col min="21" max="26" width="6.09765625" customWidth="1"/>
  </cols>
  <sheetData>
    <row r="1" spans="1:21" ht="28.5" customHeight="1" x14ac:dyDescent="0.3">
      <c r="A1" s="1"/>
      <c r="B1" s="918" t="s">
        <v>0</v>
      </c>
      <c r="C1" s="919"/>
      <c r="D1" s="919"/>
      <c r="E1" s="919"/>
      <c r="F1" s="919"/>
      <c r="G1" s="919"/>
      <c r="H1" s="919"/>
      <c r="I1" s="919"/>
      <c r="J1" s="919"/>
      <c r="K1" s="919"/>
      <c r="L1" s="919"/>
      <c r="M1" s="919"/>
      <c r="N1" s="919"/>
      <c r="O1" s="919"/>
      <c r="P1" s="919"/>
      <c r="Q1" s="919"/>
      <c r="R1" s="919"/>
      <c r="S1" s="920"/>
      <c r="T1" s="1"/>
    </row>
    <row r="2" spans="1:21" ht="18.75" customHeight="1" x14ac:dyDescent="0.3">
      <c r="A2" s="1"/>
      <c r="B2" s="921" t="s">
        <v>1</v>
      </c>
      <c r="C2" s="919"/>
      <c r="D2" s="919"/>
      <c r="E2" s="919"/>
      <c r="F2" s="919"/>
      <c r="G2" s="919"/>
      <c r="H2" s="919"/>
      <c r="I2" s="919"/>
      <c r="J2" s="919"/>
      <c r="K2" s="919"/>
      <c r="L2" s="919"/>
      <c r="M2" s="919"/>
      <c r="N2" s="919"/>
      <c r="O2" s="919"/>
      <c r="P2" s="919"/>
      <c r="Q2" s="919"/>
      <c r="R2" s="919"/>
      <c r="S2" s="920"/>
      <c r="T2" s="1"/>
    </row>
    <row r="3" spans="1:21" ht="18.75" customHeight="1" x14ac:dyDescent="0.3">
      <c r="A3" s="1"/>
      <c r="B3" s="921" t="s">
        <v>2</v>
      </c>
      <c r="C3" s="919"/>
      <c r="D3" s="919"/>
      <c r="E3" s="919"/>
      <c r="F3" s="919"/>
      <c r="G3" s="919"/>
      <c r="H3" s="919"/>
      <c r="I3" s="919"/>
      <c r="J3" s="919"/>
      <c r="K3" s="919"/>
      <c r="L3" s="919"/>
      <c r="M3" s="919"/>
      <c r="N3" s="919"/>
      <c r="O3" s="919"/>
      <c r="P3" s="919"/>
      <c r="Q3" s="919"/>
      <c r="R3" s="919"/>
      <c r="S3" s="920"/>
      <c r="T3" s="1"/>
    </row>
    <row r="4" spans="1:21" ht="27.75" customHeight="1" thickBot="1" x14ac:dyDescent="0.35">
      <c r="A4" s="2"/>
      <c r="B4" s="922" t="s">
        <v>1087</v>
      </c>
      <c r="C4" s="919"/>
      <c r="D4" s="919"/>
      <c r="E4" s="919"/>
      <c r="F4" s="919"/>
      <c r="G4" s="919"/>
      <c r="H4" s="919"/>
      <c r="I4" s="919"/>
      <c r="J4" s="919"/>
      <c r="K4" s="919"/>
      <c r="L4" s="919"/>
      <c r="M4" s="919"/>
      <c r="N4" s="919"/>
      <c r="O4" s="919"/>
      <c r="P4" s="919"/>
      <c r="Q4" s="919"/>
      <c r="R4" s="919"/>
      <c r="S4" s="920"/>
      <c r="T4" s="2"/>
    </row>
    <row r="5" spans="1:21" s="19" customFormat="1" ht="42" customHeight="1" x14ac:dyDescent="0.3">
      <c r="A5" s="810" t="s">
        <v>5</v>
      </c>
      <c r="B5" s="812" t="s">
        <v>6</v>
      </c>
      <c r="C5" s="814" t="s">
        <v>7</v>
      </c>
      <c r="D5" s="817" t="s">
        <v>959</v>
      </c>
      <c r="E5" s="818"/>
      <c r="F5" s="819"/>
      <c r="G5" s="817" t="s">
        <v>960</v>
      </c>
      <c r="H5" s="818"/>
      <c r="I5" s="819"/>
      <c r="J5" s="817" t="s">
        <v>961</v>
      </c>
      <c r="K5" s="818"/>
      <c r="L5" s="819"/>
      <c r="M5" s="820" t="s">
        <v>8</v>
      </c>
      <c r="N5" s="823" t="s">
        <v>9</v>
      </c>
      <c r="O5" s="823" t="s">
        <v>10</v>
      </c>
      <c r="P5" s="824" t="s">
        <v>11</v>
      </c>
      <c r="Q5" s="824" t="s">
        <v>12</v>
      </c>
      <c r="R5" s="824" t="s">
        <v>13</v>
      </c>
      <c r="S5" s="812" t="s">
        <v>14</v>
      </c>
      <c r="T5" s="825" t="s">
        <v>15</v>
      </c>
    </row>
    <row r="6" spans="1:21" s="19" customFormat="1" ht="41.25" customHeight="1" x14ac:dyDescent="0.3">
      <c r="A6" s="811"/>
      <c r="B6" s="813"/>
      <c r="C6" s="815"/>
      <c r="D6" s="827" t="s">
        <v>16</v>
      </c>
      <c r="E6" s="803" t="s">
        <v>17</v>
      </c>
      <c r="F6" s="828"/>
      <c r="G6" s="827" t="s">
        <v>16</v>
      </c>
      <c r="H6" s="803" t="s">
        <v>17</v>
      </c>
      <c r="I6" s="828"/>
      <c r="J6" s="800" t="s">
        <v>18</v>
      </c>
      <c r="K6" s="803" t="s">
        <v>17</v>
      </c>
      <c r="L6" s="828"/>
      <c r="M6" s="821"/>
      <c r="N6" s="813"/>
      <c r="O6" s="813"/>
      <c r="P6" s="813"/>
      <c r="Q6" s="813"/>
      <c r="R6" s="813"/>
      <c r="S6" s="813"/>
      <c r="T6" s="826"/>
    </row>
    <row r="7" spans="1:21" s="19" customFormat="1" ht="63" customHeight="1" x14ac:dyDescent="0.3">
      <c r="A7" s="801"/>
      <c r="B7" s="766"/>
      <c r="C7" s="816"/>
      <c r="D7" s="801"/>
      <c r="E7" s="167" t="s">
        <v>962</v>
      </c>
      <c r="F7" s="185" t="s">
        <v>963</v>
      </c>
      <c r="G7" s="801"/>
      <c r="H7" s="167" t="s">
        <v>962</v>
      </c>
      <c r="I7" s="186" t="s">
        <v>963</v>
      </c>
      <c r="J7" s="801"/>
      <c r="K7" s="167" t="s">
        <v>962</v>
      </c>
      <c r="L7" s="185" t="s">
        <v>963</v>
      </c>
      <c r="M7" s="822"/>
      <c r="N7" s="766"/>
      <c r="O7" s="766"/>
      <c r="P7" s="766"/>
      <c r="Q7" s="766"/>
      <c r="R7" s="766"/>
      <c r="S7" s="766"/>
      <c r="T7" s="808"/>
    </row>
    <row r="8" spans="1:21" s="19" customFormat="1" ht="80.25" customHeight="1" x14ac:dyDescent="0.3">
      <c r="A8" s="179" t="s">
        <v>19</v>
      </c>
      <c r="B8" s="44" t="s">
        <v>752</v>
      </c>
      <c r="C8" s="49" t="s">
        <v>20</v>
      </c>
      <c r="D8" s="180">
        <f>E8+F8</f>
        <v>5100</v>
      </c>
      <c r="E8" s="143">
        <v>100</v>
      </c>
      <c r="F8" s="181">
        <v>5000</v>
      </c>
      <c r="G8" s="180">
        <v>300</v>
      </c>
      <c r="H8" s="143">
        <v>100</v>
      </c>
      <c r="I8" s="182">
        <f>G8-H8</f>
        <v>200</v>
      </c>
      <c r="J8" s="180">
        <v>39.299999999999997</v>
      </c>
      <c r="K8" s="143">
        <v>0</v>
      </c>
      <c r="L8" s="181">
        <f>+J8-K8</f>
        <v>39.299999999999997</v>
      </c>
      <c r="M8" s="377">
        <v>0</v>
      </c>
      <c r="N8" s="307">
        <f>(L8/F8)*100%</f>
        <v>7.8599999999999989E-3</v>
      </c>
      <c r="O8" s="138" t="s">
        <v>21</v>
      </c>
      <c r="P8" s="144" t="s">
        <v>22</v>
      </c>
      <c r="Q8" s="144" t="s">
        <v>23</v>
      </c>
      <c r="R8" s="138" t="s">
        <v>24</v>
      </c>
      <c r="S8" s="138" t="s">
        <v>25</v>
      </c>
      <c r="T8" s="184" t="s">
        <v>26</v>
      </c>
    </row>
    <row r="9" spans="1:21" s="19" customFormat="1" ht="25.5" customHeight="1" x14ac:dyDescent="0.3">
      <c r="A9" s="272" t="s">
        <v>27</v>
      </c>
      <c r="B9" s="273" t="s">
        <v>777</v>
      </c>
      <c r="C9" s="233"/>
      <c r="D9" s="233"/>
      <c r="E9" s="233"/>
      <c r="F9" s="233"/>
      <c r="G9" s="233"/>
      <c r="H9" s="233"/>
      <c r="I9" s="234"/>
      <c r="J9" s="233"/>
      <c r="K9" s="235"/>
      <c r="L9" s="235"/>
      <c r="M9" s="233"/>
      <c r="N9" s="235"/>
      <c r="O9" s="233"/>
      <c r="P9" s="236"/>
      <c r="Q9" s="233"/>
      <c r="R9" s="233"/>
      <c r="S9" s="233"/>
      <c r="T9" s="233"/>
    </row>
    <row r="10" spans="1:21" s="19" customFormat="1" ht="49.5" customHeight="1" x14ac:dyDescent="0.3">
      <c r="A10" s="781" t="s">
        <v>5</v>
      </c>
      <c r="B10" s="783" t="s">
        <v>663</v>
      </c>
      <c r="C10" s="783" t="s">
        <v>664</v>
      </c>
      <c r="D10" s="785" t="s">
        <v>665</v>
      </c>
      <c r="E10" s="786"/>
      <c r="F10" s="786"/>
      <c r="G10" s="787"/>
      <c r="H10" s="788" t="s">
        <v>666</v>
      </c>
      <c r="I10" s="790" t="s">
        <v>667</v>
      </c>
      <c r="J10" s="760"/>
      <c r="K10" s="791"/>
      <c r="L10" s="792" t="s">
        <v>668</v>
      </c>
      <c r="M10" s="793"/>
      <c r="N10" s="794" t="s">
        <v>43</v>
      </c>
      <c r="O10" s="783" t="s">
        <v>669</v>
      </c>
      <c r="P10" s="796" t="s">
        <v>670</v>
      </c>
      <c r="Q10" s="796" t="s">
        <v>42</v>
      </c>
      <c r="R10" s="783" t="s">
        <v>671</v>
      </c>
      <c r="S10" s="783" t="s">
        <v>44</v>
      </c>
      <c r="T10" s="798" t="s">
        <v>15</v>
      </c>
    </row>
    <row r="11" spans="1:21" s="19" customFormat="1" ht="87" customHeight="1" x14ac:dyDescent="0.3">
      <c r="A11" s="782"/>
      <c r="B11" s="784"/>
      <c r="C11" s="784"/>
      <c r="D11" s="405" t="s">
        <v>672</v>
      </c>
      <c r="E11" s="405" t="s">
        <v>673</v>
      </c>
      <c r="F11" s="405" t="s">
        <v>759</v>
      </c>
      <c r="G11" s="405" t="s">
        <v>17</v>
      </c>
      <c r="H11" s="789"/>
      <c r="I11" s="125" t="s">
        <v>674</v>
      </c>
      <c r="J11" s="418" t="s">
        <v>675</v>
      </c>
      <c r="K11" s="81" t="s">
        <v>676</v>
      </c>
      <c r="L11" s="82" t="s">
        <v>677</v>
      </c>
      <c r="M11" s="83" t="s">
        <v>678</v>
      </c>
      <c r="N11" s="795"/>
      <c r="O11" s="784"/>
      <c r="P11" s="797"/>
      <c r="Q11" s="797"/>
      <c r="R11" s="784"/>
      <c r="S11" s="784"/>
      <c r="T11" s="799"/>
    </row>
    <row r="12" spans="1:21" s="80" customFormat="1" ht="145.5" customHeight="1" x14ac:dyDescent="0.3">
      <c r="A12" s="226" t="s">
        <v>19</v>
      </c>
      <c r="B12" s="227" t="s">
        <v>679</v>
      </c>
      <c r="C12" s="228" t="s">
        <v>756</v>
      </c>
      <c r="D12" s="418" t="s">
        <v>104</v>
      </c>
      <c r="E12" s="418" t="s">
        <v>757</v>
      </c>
      <c r="F12" s="420">
        <v>39.299999999999997</v>
      </c>
      <c r="G12" s="420" t="s">
        <v>681</v>
      </c>
      <c r="H12" s="308" t="s">
        <v>758</v>
      </c>
      <c r="I12" s="125">
        <v>39.299999999999997</v>
      </c>
      <c r="J12" s="420">
        <v>0</v>
      </c>
      <c r="K12" s="420">
        <f>I12+J12</f>
        <v>39.299999999999997</v>
      </c>
      <c r="L12" s="125">
        <v>0</v>
      </c>
      <c r="M12" s="83"/>
      <c r="N12" s="230">
        <v>1</v>
      </c>
      <c r="O12" s="423">
        <v>1</v>
      </c>
      <c r="P12" s="231">
        <v>867000</v>
      </c>
      <c r="Q12" s="231">
        <f>+ROUND((P12*N12*K12),-3)</f>
        <v>34073000</v>
      </c>
      <c r="R12" s="231">
        <f>-ROUND((38000*J12*0.5%),-3)</f>
        <v>0</v>
      </c>
      <c r="S12" s="408">
        <f>+Q12+R12</f>
        <v>34073000</v>
      </c>
      <c r="T12" s="309" t="s">
        <v>990</v>
      </c>
    </row>
    <row r="13" spans="1:21" s="19" customFormat="1" ht="25.5" customHeight="1" x14ac:dyDescent="0.3">
      <c r="A13" s="272"/>
      <c r="B13" s="273"/>
      <c r="C13" s="233"/>
      <c r="D13" s="233"/>
      <c r="E13" s="233"/>
      <c r="F13" s="233"/>
      <c r="G13" s="233"/>
      <c r="H13" s="233"/>
      <c r="I13" s="234"/>
      <c r="J13" s="233"/>
      <c r="K13" s="235"/>
      <c r="L13" s="235"/>
      <c r="M13" s="233"/>
      <c r="N13" s="235"/>
      <c r="O13" s="233"/>
      <c r="P13" s="236"/>
      <c r="Q13" s="233"/>
      <c r="R13" s="233"/>
      <c r="S13" s="233"/>
      <c r="T13" s="233"/>
      <c r="U13" s="440">
        <f>+S14+S60+S114+S165+S253+S339+S442+S444+S474+S476+S502+S545+S673+S719+S800+S836+S949+S992+S989</f>
        <v>41555000</v>
      </c>
    </row>
    <row r="14" spans="1:21" s="19" customFormat="1" ht="23.25" customHeight="1" x14ac:dyDescent="0.3">
      <c r="A14" s="272" t="s">
        <v>28</v>
      </c>
      <c r="B14" s="273" t="s">
        <v>141</v>
      </c>
      <c r="C14" s="233"/>
      <c r="D14" s="233"/>
      <c r="E14" s="233"/>
      <c r="F14" s="233"/>
      <c r="G14" s="233"/>
      <c r="H14" s="233"/>
      <c r="I14" s="234"/>
      <c r="J14" s="233"/>
      <c r="K14" s="235"/>
      <c r="L14" s="235"/>
      <c r="M14" s="233"/>
      <c r="N14" s="235"/>
      <c r="O14" s="233"/>
      <c r="P14" s="236"/>
      <c r="Q14" s="237"/>
      <c r="R14" s="237"/>
      <c r="S14" s="441">
        <f>+SUM(S17)</f>
        <v>725000</v>
      </c>
      <c r="T14" s="233"/>
      <c r="U14" s="442"/>
    </row>
    <row r="15" spans="1:21" s="19" customFormat="1" ht="61.5" customHeight="1" x14ac:dyDescent="0.3">
      <c r="A15" s="800" t="s">
        <v>5</v>
      </c>
      <c r="B15" s="802" t="s">
        <v>30</v>
      </c>
      <c r="C15" s="802" t="s">
        <v>31</v>
      </c>
      <c r="D15" s="802" t="s">
        <v>32</v>
      </c>
      <c r="E15" s="803" t="s">
        <v>33</v>
      </c>
      <c r="F15" s="758"/>
      <c r="G15" s="802" t="s">
        <v>34</v>
      </c>
      <c r="H15" s="802" t="s">
        <v>35</v>
      </c>
      <c r="I15" s="804" t="s">
        <v>36</v>
      </c>
      <c r="J15" s="758"/>
      <c r="K15" s="769" t="s">
        <v>37</v>
      </c>
      <c r="L15" s="769" t="s">
        <v>38</v>
      </c>
      <c r="M15" s="805" t="s">
        <v>39</v>
      </c>
      <c r="N15" s="802" t="s">
        <v>839</v>
      </c>
      <c r="O15" s="802" t="s">
        <v>967</v>
      </c>
      <c r="P15" s="806" t="s">
        <v>41</v>
      </c>
      <c r="Q15" s="806" t="s">
        <v>42</v>
      </c>
      <c r="R15" s="802" t="s">
        <v>43</v>
      </c>
      <c r="S15" s="802" t="s">
        <v>44</v>
      </c>
      <c r="T15" s="807" t="s">
        <v>15</v>
      </c>
    </row>
    <row r="16" spans="1:21" s="19" customFormat="1" ht="59.25" customHeight="1" x14ac:dyDescent="0.3">
      <c r="A16" s="801"/>
      <c r="B16" s="766"/>
      <c r="C16" s="766"/>
      <c r="D16" s="766"/>
      <c r="E16" s="167" t="s">
        <v>45</v>
      </c>
      <c r="F16" s="167" t="s">
        <v>46</v>
      </c>
      <c r="G16" s="766"/>
      <c r="H16" s="766"/>
      <c r="I16" s="140" t="s">
        <v>47</v>
      </c>
      <c r="J16" s="143" t="s">
        <v>48</v>
      </c>
      <c r="K16" s="766"/>
      <c r="L16" s="766"/>
      <c r="M16" s="766"/>
      <c r="N16" s="766"/>
      <c r="O16" s="766"/>
      <c r="P16" s="766"/>
      <c r="Q16" s="766"/>
      <c r="R16" s="766"/>
      <c r="S16" s="766"/>
      <c r="T16" s="808"/>
    </row>
    <row r="17" spans="1:20" s="19" customFormat="1" ht="45" customHeight="1" x14ac:dyDescent="0.3">
      <c r="A17" s="310" t="s">
        <v>19</v>
      </c>
      <c r="B17" s="48" t="s">
        <v>49</v>
      </c>
      <c r="C17" s="52" t="s">
        <v>50</v>
      </c>
      <c r="D17" s="52" t="s">
        <v>51</v>
      </c>
      <c r="E17" s="138" t="s">
        <v>27</v>
      </c>
      <c r="F17" s="139" t="s">
        <v>52</v>
      </c>
      <c r="G17" s="138" t="s">
        <v>53</v>
      </c>
      <c r="H17" s="138" t="s">
        <v>21</v>
      </c>
      <c r="I17" s="144">
        <v>2016</v>
      </c>
      <c r="J17" s="141">
        <f>2026-I17-3</f>
        <v>7</v>
      </c>
      <c r="K17" s="142">
        <v>1</v>
      </c>
      <c r="L17" s="142">
        <f>K17</f>
        <v>1</v>
      </c>
      <c r="M17" s="52" t="s">
        <v>54</v>
      </c>
      <c r="N17" s="143"/>
      <c r="O17" s="143"/>
      <c r="P17" s="144">
        <v>725040</v>
      </c>
      <c r="Q17" s="144">
        <f>+ROUND((L17*P17),-3)</f>
        <v>725000</v>
      </c>
      <c r="R17" s="145">
        <v>1</v>
      </c>
      <c r="S17" s="144">
        <f>+ROUND((Q17*R17),-3)</f>
        <v>725000</v>
      </c>
      <c r="T17" s="52" t="s">
        <v>153</v>
      </c>
    </row>
    <row r="18" spans="1:20" s="19" customFormat="1" ht="36" customHeight="1" x14ac:dyDescent="0.3">
      <c r="A18" s="136"/>
      <c r="B18" s="166" t="s">
        <v>55</v>
      </c>
      <c r="C18" s="166"/>
      <c r="D18" s="240"/>
      <c r="E18" s="159"/>
      <c r="F18" s="167"/>
      <c r="G18" s="167"/>
      <c r="H18" s="167"/>
      <c r="I18" s="168"/>
      <c r="J18" s="167"/>
      <c r="K18" s="167"/>
      <c r="L18" s="167"/>
      <c r="M18" s="167"/>
      <c r="N18" s="167"/>
      <c r="O18" s="167"/>
      <c r="P18" s="167"/>
      <c r="Q18" s="167"/>
      <c r="R18" s="45"/>
      <c r="S18" s="45">
        <f>SUM(S17)</f>
        <v>725000</v>
      </c>
      <c r="T18" s="185"/>
    </row>
    <row r="19" spans="1:20" s="19" customFormat="1" ht="45" customHeight="1" x14ac:dyDescent="0.3">
      <c r="A19" s="272" t="s">
        <v>56</v>
      </c>
      <c r="B19" s="273" t="s">
        <v>57</v>
      </c>
      <c r="C19" s="233"/>
      <c r="D19" s="233"/>
      <c r="E19" s="233"/>
      <c r="F19" s="233"/>
      <c r="G19" s="233"/>
      <c r="H19" s="233"/>
      <c r="I19" s="234"/>
      <c r="J19" s="233"/>
      <c r="K19" s="235"/>
      <c r="L19" s="235"/>
      <c r="M19" s="233"/>
      <c r="N19" s="235"/>
      <c r="O19" s="233"/>
      <c r="P19" s="236"/>
      <c r="Q19" s="233"/>
      <c r="R19" s="233"/>
      <c r="S19" s="237">
        <f>S37</f>
        <v>29119000</v>
      </c>
      <c r="T19" s="233"/>
    </row>
    <row r="20" spans="1:20" s="19" customFormat="1" ht="18" customHeight="1" x14ac:dyDescent="0.3">
      <c r="A20" s="765"/>
      <c r="B20" s="767" t="s">
        <v>51</v>
      </c>
      <c r="C20" s="767" t="s">
        <v>58</v>
      </c>
      <c r="D20" s="768" t="s">
        <v>59</v>
      </c>
      <c r="E20" s="769" t="s">
        <v>60</v>
      </c>
      <c r="F20" s="769" t="s">
        <v>61</v>
      </c>
      <c r="G20" s="805" t="s">
        <v>62</v>
      </c>
      <c r="H20" s="769" t="s">
        <v>63</v>
      </c>
      <c r="I20" s="770" t="s">
        <v>64</v>
      </c>
      <c r="J20" s="757"/>
      <c r="K20" s="757"/>
      <c r="L20" s="757"/>
      <c r="M20" s="758"/>
      <c r="N20" s="771" t="s">
        <v>3</v>
      </c>
      <c r="O20" s="771" t="s">
        <v>65</v>
      </c>
      <c r="P20" s="771" t="s">
        <v>66</v>
      </c>
      <c r="Q20" s="771" t="s">
        <v>67</v>
      </c>
      <c r="R20" s="767" t="s">
        <v>68</v>
      </c>
      <c r="S20" s="767" t="s">
        <v>69</v>
      </c>
      <c r="T20" s="767" t="s">
        <v>70</v>
      </c>
    </row>
    <row r="21" spans="1:20" s="19" customFormat="1" ht="18.75" customHeight="1" x14ac:dyDescent="0.3">
      <c r="A21" s="766"/>
      <c r="B21" s="766"/>
      <c r="C21" s="766"/>
      <c r="D21" s="766"/>
      <c r="E21" s="766"/>
      <c r="F21" s="766"/>
      <c r="G21" s="766"/>
      <c r="H21" s="766"/>
      <c r="I21" s="168" t="s">
        <v>71</v>
      </c>
      <c r="J21" s="159" t="s">
        <v>72</v>
      </c>
      <c r="K21" s="159" t="s">
        <v>73</v>
      </c>
      <c r="L21" s="45" t="s">
        <v>74</v>
      </c>
      <c r="M21" s="204" t="s">
        <v>75</v>
      </c>
      <c r="N21" s="766"/>
      <c r="O21" s="766"/>
      <c r="P21" s="766"/>
      <c r="Q21" s="766"/>
      <c r="R21" s="766"/>
      <c r="S21" s="766"/>
      <c r="T21" s="766"/>
    </row>
    <row r="22" spans="1:20" s="19" customFormat="1" ht="104.25" customHeight="1" x14ac:dyDescent="0.3">
      <c r="A22" s="196" t="s">
        <v>5</v>
      </c>
      <c r="B22" s="49" t="s">
        <v>76</v>
      </c>
      <c r="C22" s="49" t="s">
        <v>77</v>
      </c>
      <c r="D22" s="49" t="s">
        <v>78</v>
      </c>
      <c r="E22" s="159" t="s">
        <v>79</v>
      </c>
      <c r="F22" s="159" t="s">
        <v>80</v>
      </c>
      <c r="G22" s="241" t="s">
        <v>81</v>
      </c>
      <c r="H22" s="45" t="s">
        <v>82</v>
      </c>
      <c r="I22" s="168" t="s">
        <v>83</v>
      </c>
      <c r="J22" s="242" t="s">
        <v>84</v>
      </c>
      <c r="K22" s="242" t="s">
        <v>85</v>
      </c>
      <c r="L22" s="49" t="s">
        <v>86</v>
      </c>
      <c r="M22" s="204" t="s">
        <v>87</v>
      </c>
      <c r="N22" s="159" t="s">
        <v>88</v>
      </c>
      <c r="O22" s="159" t="s">
        <v>89</v>
      </c>
      <c r="P22" s="159" t="s">
        <v>90</v>
      </c>
      <c r="Q22" s="159" t="s">
        <v>91</v>
      </c>
      <c r="R22" s="159" t="s">
        <v>92</v>
      </c>
      <c r="S22" s="159" t="s">
        <v>964</v>
      </c>
      <c r="T22" s="159" t="s">
        <v>15</v>
      </c>
    </row>
    <row r="23" spans="1:20" ht="127.5" customHeight="1" x14ac:dyDescent="0.3">
      <c r="A23" s="453" t="s">
        <v>19</v>
      </c>
      <c r="B23" s="454" t="s">
        <v>93</v>
      </c>
      <c r="C23" s="455" t="s">
        <v>991</v>
      </c>
      <c r="D23" s="456" t="s">
        <v>94</v>
      </c>
      <c r="E23" s="457">
        <v>2016</v>
      </c>
      <c r="F23" s="458"/>
      <c r="G23" s="459">
        <f t="shared" ref="G23:G36" si="0">2023-E23</f>
        <v>7</v>
      </c>
      <c r="H23" s="460" t="s">
        <v>95</v>
      </c>
      <c r="I23" s="461">
        <f>8.8*2</f>
        <v>17.600000000000001</v>
      </c>
      <c r="J23" s="461" t="s">
        <v>96</v>
      </c>
      <c r="K23" s="460">
        <f t="shared" ref="K23:K32" si="1">+I23-J23</f>
        <v>17.600000000000001</v>
      </c>
      <c r="L23" s="462">
        <v>0.99199999999999999</v>
      </c>
      <c r="M23" s="463">
        <v>1487000</v>
      </c>
      <c r="N23" s="464">
        <v>0.3</v>
      </c>
      <c r="O23" s="463">
        <f>+M23*80%*90%</f>
        <v>1070640</v>
      </c>
      <c r="P23" s="459">
        <f t="shared" ref="P23:P36" si="2">+ROUND((K23*L23*O23*N23),-3)</f>
        <v>5608000</v>
      </c>
      <c r="Q23" s="463" t="s">
        <v>97</v>
      </c>
      <c r="R23" s="463" t="s">
        <v>97</v>
      </c>
      <c r="S23" s="459">
        <f t="shared" ref="S23:S36" si="3">P23</f>
        <v>5608000</v>
      </c>
      <c r="T23" s="460" t="s">
        <v>992</v>
      </c>
    </row>
    <row r="24" spans="1:20" ht="107.25" customHeight="1" x14ac:dyDescent="0.3">
      <c r="A24" s="453" t="s">
        <v>98</v>
      </c>
      <c r="B24" s="454" t="s">
        <v>99</v>
      </c>
      <c r="C24" s="454" t="s">
        <v>993</v>
      </c>
      <c r="D24" s="456" t="s">
        <v>100</v>
      </c>
      <c r="E24" s="457">
        <v>2016</v>
      </c>
      <c r="F24" s="458"/>
      <c r="G24" s="459">
        <f t="shared" si="0"/>
        <v>7</v>
      </c>
      <c r="H24" s="460" t="s">
        <v>95</v>
      </c>
      <c r="I24" s="461">
        <f>0.45*0.45*2.5*2</f>
        <v>1.0125000000000002</v>
      </c>
      <c r="J24" s="461" t="s">
        <v>96</v>
      </c>
      <c r="K24" s="460">
        <f t="shared" si="1"/>
        <v>1.0125000000000002</v>
      </c>
      <c r="L24" s="462">
        <v>0.99199999999999999</v>
      </c>
      <c r="M24" s="463">
        <v>2556000</v>
      </c>
      <c r="N24" s="464">
        <v>0.3</v>
      </c>
      <c r="O24" s="463">
        <f>+M24</f>
        <v>2556000</v>
      </c>
      <c r="P24" s="459">
        <f t="shared" si="2"/>
        <v>770000</v>
      </c>
      <c r="Q24" s="463" t="s">
        <v>97</v>
      </c>
      <c r="R24" s="463" t="s">
        <v>97</v>
      </c>
      <c r="S24" s="459">
        <f t="shared" si="3"/>
        <v>770000</v>
      </c>
      <c r="T24" s="460" t="s">
        <v>994</v>
      </c>
    </row>
    <row r="25" spans="1:20" ht="107.25" customHeight="1" x14ac:dyDescent="0.3">
      <c r="A25" s="453" t="s">
        <v>101</v>
      </c>
      <c r="B25" s="454" t="s">
        <v>102</v>
      </c>
      <c r="C25" s="455" t="s">
        <v>103</v>
      </c>
      <c r="D25" s="456" t="s">
        <v>100</v>
      </c>
      <c r="E25" s="457">
        <v>2016</v>
      </c>
      <c r="F25" s="458"/>
      <c r="G25" s="459">
        <f t="shared" si="0"/>
        <v>7</v>
      </c>
      <c r="H25" s="460" t="s">
        <v>95</v>
      </c>
      <c r="I25" s="461">
        <f>((0.45*2.5)*4)*2</f>
        <v>9</v>
      </c>
      <c r="J25" s="461" t="s">
        <v>96</v>
      </c>
      <c r="K25" s="460">
        <f t="shared" si="1"/>
        <v>9</v>
      </c>
      <c r="L25" s="462">
        <v>0.99199999999999999</v>
      </c>
      <c r="M25" s="463">
        <v>384000</v>
      </c>
      <c r="N25" s="464">
        <v>0.3</v>
      </c>
      <c r="O25" s="463">
        <f>+M25</f>
        <v>384000</v>
      </c>
      <c r="P25" s="459">
        <f t="shared" si="2"/>
        <v>1029000</v>
      </c>
      <c r="Q25" s="463" t="s">
        <v>97</v>
      </c>
      <c r="R25" s="463" t="s">
        <v>97</v>
      </c>
      <c r="S25" s="459">
        <f t="shared" si="3"/>
        <v>1029000</v>
      </c>
      <c r="T25" s="460" t="s">
        <v>995</v>
      </c>
    </row>
    <row r="26" spans="1:20" ht="107.25" customHeight="1" x14ac:dyDescent="0.3">
      <c r="A26" s="453" t="s">
        <v>104</v>
      </c>
      <c r="B26" s="454" t="s">
        <v>105</v>
      </c>
      <c r="C26" s="454" t="s">
        <v>106</v>
      </c>
      <c r="D26" s="456" t="s">
        <v>94</v>
      </c>
      <c r="E26" s="457">
        <v>2016</v>
      </c>
      <c r="F26" s="458"/>
      <c r="G26" s="459">
        <f t="shared" si="0"/>
        <v>7</v>
      </c>
      <c r="H26" s="460" t="s">
        <v>95</v>
      </c>
      <c r="I26" s="461">
        <f>(1.7*1.7)*2</f>
        <v>5.7799999999999994</v>
      </c>
      <c r="J26" s="461" t="s">
        <v>96</v>
      </c>
      <c r="K26" s="460">
        <f t="shared" si="1"/>
        <v>5.7799999999999994</v>
      </c>
      <c r="L26" s="462">
        <v>0.99199999999999999</v>
      </c>
      <c r="M26" s="463">
        <v>835000</v>
      </c>
      <c r="N26" s="464">
        <v>0.3</v>
      </c>
      <c r="O26" s="463">
        <f>+M26</f>
        <v>835000</v>
      </c>
      <c r="P26" s="459">
        <f t="shared" si="2"/>
        <v>1436000</v>
      </c>
      <c r="Q26" s="463" t="s">
        <v>97</v>
      </c>
      <c r="R26" s="463" t="s">
        <v>97</v>
      </c>
      <c r="S26" s="459">
        <f t="shared" si="3"/>
        <v>1436000</v>
      </c>
      <c r="T26" s="460" t="s">
        <v>996</v>
      </c>
    </row>
    <row r="27" spans="1:20" ht="107.25" customHeight="1" x14ac:dyDescent="0.3">
      <c r="A27" s="453" t="s">
        <v>107</v>
      </c>
      <c r="B27" s="454" t="s">
        <v>108</v>
      </c>
      <c r="C27" s="454" t="s">
        <v>109</v>
      </c>
      <c r="D27" s="456" t="s">
        <v>94</v>
      </c>
      <c r="E27" s="457">
        <v>2016</v>
      </c>
      <c r="F27" s="458"/>
      <c r="G27" s="459">
        <f t="shared" si="0"/>
        <v>7</v>
      </c>
      <c r="H27" s="460" t="s">
        <v>95</v>
      </c>
      <c r="I27" s="461">
        <f>4*1.4</f>
        <v>5.6</v>
      </c>
      <c r="J27" s="461" t="s">
        <v>96</v>
      </c>
      <c r="K27" s="460">
        <f t="shared" si="1"/>
        <v>5.6</v>
      </c>
      <c r="L27" s="462">
        <v>0.99199999999999999</v>
      </c>
      <c r="M27" s="463">
        <v>418000</v>
      </c>
      <c r="N27" s="464">
        <v>0.3</v>
      </c>
      <c r="O27" s="463">
        <f>+M27</f>
        <v>418000</v>
      </c>
      <c r="P27" s="459">
        <f t="shared" si="2"/>
        <v>697000</v>
      </c>
      <c r="Q27" s="463" t="s">
        <v>97</v>
      </c>
      <c r="R27" s="463" t="s">
        <v>97</v>
      </c>
      <c r="S27" s="459">
        <f t="shared" si="3"/>
        <v>697000</v>
      </c>
      <c r="T27" s="460" t="s">
        <v>901</v>
      </c>
    </row>
    <row r="28" spans="1:20" ht="107.25" customHeight="1" x14ac:dyDescent="0.3">
      <c r="A28" s="453" t="s">
        <v>110</v>
      </c>
      <c r="B28" s="454" t="s">
        <v>111</v>
      </c>
      <c r="C28" s="455" t="s">
        <v>997</v>
      </c>
      <c r="D28" s="456" t="s">
        <v>94</v>
      </c>
      <c r="E28" s="457">
        <v>2016</v>
      </c>
      <c r="F28" s="458"/>
      <c r="G28" s="459">
        <f t="shared" si="0"/>
        <v>7</v>
      </c>
      <c r="H28" s="460" t="s">
        <v>95</v>
      </c>
      <c r="I28" s="461">
        <f>6.6*2</f>
        <v>13.2</v>
      </c>
      <c r="J28" s="461" t="s">
        <v>96</v>
      </c>
      <c r="K28" s="460">
        <f t="shared" si="1"/>
        <v>13.2</v>
      </c>
      <c r="L28" s="462">
        <v>0.99199999999999999</v>
      </c>
      <c r="M28" s="463">
        <v>1400000</v>
      </c>
      <c r="N28" s="464">
        <v>0.3</v>
      </c>
      <c r="O28" s="463">
        <f>+M28*80%*90%</f>
        <v>1008000</v>
      </c>
      <c r="P28" s="459">
        <f t="shared" si="2"/>
        <v>3960000</v>
      </c>
      <c r="Q28" s="463" t="s">
        <v>97</v>
      </c>
      <c r="R28" s="463" t="s">
        <v>97</v>
      </c>
      <c r="S28" s="459">
        <f t="shared" si="3"/>
        <v>3960000</v>
      </c>
      <c r="T28" s="460" t="s">
        <v>998</v>
      </c>
    </row>
    <row r="29" spans="1:20" ht="107.25" customHeight="1" x14ac:dyDescent="0.3">
      <c r="A29" s="453" t="s">
        <v>112</v>
      </c>
      <c r="B29" s="454" t="s">
        <v>113</v>
      </c>
      <c r="C29" s="454" t="s">
        <v>114</v>
      </c>
      <c r="D29" s="456" t="s">
        <v>94</v>
      </c>
      <c r="E29" s="457">
        <v>2016</v>
      </c>
      <c r="F29" s="458"/>
      <c r="G29" s="459">
        <f t="shared" si="0"/>
        <v>7</v>
      </c>
      <c r="H29" s="460" t="s">
        <v>95</v>
      </c>
      <c r="I29" s="461">
        <f>6*6.3</f>
        <v>37.799999999999997</v>
      </c>
      <c r="J29" s="461" t="s">
        <v>96</v>
      </c>
      <c r="K29" s="460">
        <f t="shared" si="1"/>
        <v>37.799999999999997</v>
      </c>
      <c r="L29" s="462">
        <v>0.99199999999999999</v>
      </c>
      <c r="M29" s="463">
        <v>418000</v>
      </c>
      <c r="N29" s="464">
        <v>0.3</v>
      </c>
      <c r="O29" s="463">
        <f t="shared" ref="O29:O36" si="4">+M29</f>
        <v>418000</v>
      </c>
      <c r="P29" s="459">
        <f>+ROUND((K29*L29*O29*N29),-3)</f>
        <v>4702000</v>
      </c>
      <c r="Q29" s="463" t="s">
        <v>97</v>
      </c>
      <c r="R29" s="463" t="s">
        <v>97</v>
      </c>
      <c r="S29" s="459">
        <f t="shared" si="3"/>
        <v>4702000</v>
      </c>
      <c r="T29" s="460" t="s">
        <v>902</v>
      </c>
    </row>
    <row r="30" spans="1:20" ht="107.25" customHeight="1" x14ac:dyDescent="0.3">
      <c r="A30" s="453" t="s">
        <v>115</v>
      </c>
      <c r="B30" s="454" t="s">
        <v>116</v>
      </c>
      <c r="C30" s="454" t="s">
        <v>117</v>
      </c>
      <c r="D30" s="456" t="s">
        <v>94</v>
      </c>
      <c r="E30" s="457">
        <v>2016</v>
      </c>
      <c r="F30" s="458"/>
      <c r="G30" s="459">
        <f t="shared" si="0"/>
        <v>7</v>
      </c>
      <c r="H30" s="460" t="s">
        <v>95</v>
      </c>
      <c r="I30" s="461">
        <f>2.7*3.8</f>
        <v>10.26</v>
      </c>
      <c r="J30" s="461" t="s">
        <v>96</v>
      </c>
      <c r="K30" s="460">
        <f t="shared" si="1"/>
        <v>10.26</v>
      </c>
      <c r="L30" s="462">
        <v>0.99199999999999999</v>
      </c>
      <c r="M30" s="463">
        <v>273000</v>
      </c>
      <c r="N30" s="464">
        <v>0.3</v>
      </c>
      <c r="O30" s="463">
        <f t="shared" si="4"/>
        <v>273000</v>
      </c>
      <c r="P30" s="459">
        <f t="shared" si="2"/>
        <v>834000</v>
      </c>
      <c r="Q30" s="463" t="s">
        <v>97</v>
      </c>
      <c r="R30" s="463" t="s">
        <v>97</v>
      </c>
      <c r="S30" s="459">
        <f t="shared" si="3"/>
        <v>834000</v>
      </c>
      <c r="T30" s="460" t="s">
        <v>903</v>
      </c>
    </row>
    <row r="31" spans="1:20" ht="107.25" customHeight="1" x14ac:dyDescent="0.3">
      <c r="A31" s="453" t="s">
        <v>101</v>
      </c>
      <c r="B31" s="454" t="s">
        <v>102</v>
      </c>
      <c r="C31" s="454" t="s">
        <v>118</v>
      </c>
      <c r="D31" s="456" t="s">
        <v>94</v>
      </c>
      <c r="E31" s="457">
        <v>2016</v>
      </c>
      <c r="F31" s="458"/>
      <c r="G31" s="459">
        <f t="shared" si="0"/>
        <v>7</v>
      </c>
      <c r="H31" s="460" t="s">
        <v>95</v>
      </c>
      <c r="I31" s="461">
        <f>2.7*3.8</f>
        <v>10.26</v>
      </c>
      <c r="J31" s="461" t="s">
        <v>96</v>
      </c>
      <c r="K31" s="460">
        <f t="shared" si="1"/>
        <v>10.26</v>
      </c>
      <c r="L31" s="462">
        <v>0.99199999999999999</v>
      </c>
      <c r="M31" s="463">
        <v>130000</v>
      </c>
      <c r="N31" s="464">
        <v>0.3</v>
      </c>
      <c r="O31" s="463">
        <f t="shared" si="4"/>
        <v>130000</v>
      </c>
      <c r="P31" s="459">
        <f t="shared" si="2"/>
        <v>397000</v>
      </c>
      <c r="Q31" s="463" t="s">
        <v>97</v>
      </c>
      <c r="R31" s="463" t="s">
        <v>97</v>
      </c>
      <c r="S31" s="459">
        <f t="shared" si="3"/>
        <v>397000</v>
      </c>
      <c r="T31" s="460" t="s">
        <v>999</v>
      </c>
    </row>
    <row r="32" spans="1:20" ht="107.25" customHeight="1" x14ac:dyDescent="0.3">
      <c r="A32" s="453" t="s">
        <v>119</v>
      </c>
      <c r="B32" s="454" t="s">
        <v>120</v>
      </c>
      <c r="C32" s="454" t="s">
        <v>1000</v>
      </c>
      <c r="D32" s="456" t="s">
        <v>94</v>
      </c>
      <c r="E32" s="457">
        <v>2016</v>
      </c>
      <c r="F32" s="458"/>
      <c r="G32" s="459">
        <f t="shared" si="0"/>
        <v>7</v>
      </c>
      <c r="H32" s="460" t="s">
        <v>95</v>
      </c>
      <c r="I32" s="461">
        <f>6.3*6</f>
        <v>37.799999999999997</v>
      </c>
      <c r="J32" s="461" t="s">
        <v>96</v>
      </c>
      <c r="K32" s="460">
        <f t="shared" si="1"/>
        <v>37.799999999999997</v>
      </c>
      <c r="L32" s="462">
        <v>0.99199999999999999</v>
      </c>
      <c r="M32" s="463">
        <v>268000</v>
      </c>
      <c r="N32" s="464">
        <v>0.3</v>
      </c>
      <c r="O32" s="463">
        <f t="shared" si="4"/>
        <v>268000</v>
      </c>
      <c r="P32" s="459">
        <f t="shared" si="2"/>
        <v>3015000</v>
      </c>
      <c r="Q32" s="463" t="s">
        <v>97</v>
      </c>
      <c r="R32" s="463" t="s">
        <v>97</v>
      </c>
      <c r="S32" s="459">
        <f t="shared" si="3"/>
        <v>3015000</v>
      </c>
      <c r="T32" s="460" t="s">
        <v>166</v>
      </c>
    </row>
    <row r="33" spans="1:20" ht="107.25" customHeight="1" x14ac:dyDescent="0.3">
      <c r="A33" s="453" t="s">
        <v>101</v>
      </c>
      <c r="B33" s="454" t="s">
        <v>102</v>
      </c>
      <c r="C33" s="454" t="s">
        <v>121</v>
      </c>
      <c r="D33" s="456" t="s">
        <v>94</v>
      </c>
      <c r="E33" s="457">
        <v>2016</v>
      </c>
      <c r="F33" s="458"/>
      <c r="G33" s="459">
        <f t="shared" si="0"/>
        <v>7</v>
      </c>
      <c r="H33" s="460" t="s">
        <v>95</v>
      </c>
      <c r="I33" s="461">
        <f>I32</f>
        <v>37.799999999999997</v>
      </c>
      <c r="J33" s="461"/>
      <c r="K33" s="460">
        <f>K32</f>
        <v>37.799999999999997</v>
      </c>
      <c r="L33" s="462">
        <f>L32</f>
        <v>0.99199999999999999</v>
      </c>
      <c r="M33" s="463">
        <v>249000</v>
      </c>
      <c r="N33" s="464">
        <v>0.3</v>
      </c>
      <c r="O33" s="463">
        <f t="shared" si="4"/>
        <v>249000</v>
      </c>
      <c r="P33" s="459">
        <f t="shared" si="2"/>
        <v>2801000</v>
      </c>
      <c r="Q33" s="463" t="s">
        <v>97</v>
      </c>
      <c r="R33" s="463" t="s">
        <v>97</v>
      </c>
      <c r="S33" s="459">
        <f t="shared" si="3"/>
        <v>2801000</v>
      </c>
      <c r="T33" s="460" t="s">
        <v>1001</v>
      </c>
    </row>
    <row r="34" spans="1:20" ht="107.25" customHeight="1" x14ac:dyDescent="0.3">
      <c r="A34" s="453" t="s">
        <v>122</v>
      </c>
      <c r="B34" s="454" t="s">
        <v>123</v>
      </c>
      <c r="C34" s="454" t="s">
        <v>124</v>
      </c>
      <c r="D34" s="465" t="s">
        <v>100</v>
      </c>
      <c r="E34" s="457">
        <v>2016</v>
      </c>
      <c r="F34" s="458"/>
      <c r="G34" s="459">
        <f t="shared" si="0"/>
        <v>7</v>
      </c>
      <c r="H34" s="460" t="s">
        <v>95</v>
      </c>
      <c r="I34" s="461">
        <f>(1*1*0.1*7)</f>
        <v>0.70000000000000007</v>
      </c>
      <c r="J34" s="461" t="s">
        <v>96</v>
      </c>
      <c r="K34" s="460">
        <f>+I34-J34</f>
        <v>0.70000000000000007</v>
      </c>
      <c r="L34" s="462">
        <v>0.99199999999999999</v>
      </c>
      <c r="M34" s="463">
        <v>6270000</v>
      </c>
      <c r="N34" s="464">
        <v>0.3</v>
      </c>
      <c r="O34" s="463">
        <f t="shared" si="4"/>
        <v>6270000</v>
      </c>
      <c r="P34" s="459">
        <f t="shared" si="2"/>
        <v>1306000</v>
      </c>
      <c r="Q34" s="463" t="s">
        <v>97</v>
      </c>
      <c r="R34" s="463" t="s">
        <v>97</v>
      </c>
      <c r="S34" s="459">
        <f t="shared" si="3"/>
        <v>1306000</v>
      </c>
      <c r="T34" s="460" t="s">
        <v>904</v>
      </c>
    </row>
    <row r="35" spans="1:20" ht="107.25" customHeight="1" x14ac:dyDescent="0.3">
      <c r="A35" s="453" t="s">
        <v>125</v>
      </c>
      <c r="B35" s="454" t="s">
        <v>126</v>
      </c>
      <c r="C35" s="454" t="s">
        <v>127</v>
      </c>
      <c r="D35" s="465" t="s">
        <v>100</v>
      </c>
      <c r="E35" s="457">
        <v>2016</v>
      </c>
      <c r="F35" s="458"/>
      <c r="G35" s="459">
        <f t="shared" si="0"/>
        <v>7</v>
      </c>
      <c r="H35" s="460" t="s">
        <v>95</v>
      </c>
      <c r="I35" s="461">
        <f>(6.8*0.5*0.2)*2</f>
        <v>1.36</v>
      </c>
      <c r="J35" s="461" t="s">
        <v>96</v>
      </c>
      <c r="K35" s="460">
        <f>+I35-J35</f>
        <v>1.36</v>
      </c>
      <c r="L35" s="462">
        <v>0.99199999999999999</v>
      </c>
      <c r="M35" s="463">
        <v>2360000</v>
      </c>
      <c r="N35" s="464">
        <v>0.3</v>
      </c>
      <c r="O35" s="463">
        <f t="shared" si="4"/>
        <v>2360000</v>
      </c>
      <c r="P35" s="459">
        <f t="shared" si="2"/>
        <v>955000</v>
      </c>
      <c r="Q35" s="463" t="s">
        <v>97</v>
      </c>
      <c r="R35" s="463" t="s">
        <v>97</v>
      </c>
      <c r="S35" s="459">
        <f t="shared" si="3"/>
        <v>955000</v>
      </c>
      <c r="T35" s="460" t="s">
        <v>905</v>
      </c>
    </row>
    <row r="36" spans="1:20" ht="107.25" customHeight="1" x14ac:dyDescent="0.3">
      <c r="A36" s="453" t="s">
        <v>128</v>
      </c>
      <c r="B36" s="454" t="s">
        <v>129</v>
      </c>
      <c r="C36" s="454" t="s">
        <v>130</v>
      </c>
      <c r="D36" s="456" t="s">
        <v>94</v>
      </c>
      <c r="E36" s="457">
        <v>2016</v>
      </c>
      <c r="F36" s="458"/>
      <c r="G36" s="459">
        <f t="shared" si="0"/>
        <v>7</v>
      </c>
      <c r="H36" s="460" t="s">
        <v>95</v>
      </c>
      <c r="I36" s="461">
        <f>6.6*3</f>
        <v>19.799999999999997</v>
      </c>
      <c r="J36" s="461" t="s">
        <v>96</v>
      </c>
      <c r="K36" s="460">
        <f>+I36-J36</f>
        <v>19.799999999999997</v>
      </c>
      <c r="L36" s="462">
        <v>0.99199999999999999</v>
      </c>
      <c r="M36" s="463">
        <v>273000</v>
      </c>
      <c r="N36" s="464">
        <v>0.3</v>
      </c>
      <c r="O36" s="463">
        <f t="shared" si="4"/>
        <v>273000</v>
      </c>
      <c r="P36" s="459">
        <f t="shared" si="2"/>
        <v>1609000</v>
      </c>
      <c r="Q36" s="463" t="s">
        <v>97</v>
      </c>
      <c r="R36" s="463" t="s">
        <v>97</v>
      </c>
      <c r="S36" s="459">
        <f t="shared" si="3"/>
        <v>1609000</v>
      </c>
      <c r="T36" s="460" t="s">
        <v>906</v>
      </c>
    </row>
    <row r="37" spans="1:20" s="19" customFormat="1" ht="27" customHeight="1" x14ac:dyDescent="0.3">
      <c r="A37" s="313"/>
      <c r="B37" s="166" t="s">
        <v>55</v>
      </c>
      <c r="C37" s="166"/>
      <c r="D37" s="159"/>
      <c r="E37" s="159"/>
      <c r="F37" s="167"/>
      <c r="G37" s="45"/>
      <c r="H37" s="167"/>
      <c r="I37" s="168"/>
      <c r="J37" s="45"/>
      <c r="K37" s="45"/>
      <c r="L37" s="45"/>
      <c r="M37" s="45"/>
      <c r="N37" s="45"/>
      <c r="O37" s="45"/>
      <c r="P37" s="45"/>
      <c r="Q37" s="45"/>
      <c r="R37" s="45"/>
      <c r="S37" s="45">
        <f>SUM(S23:S36)</f>
        <v>29119000</v>
      </c>
      <c r="T37" s="167"/>
    </row>
    <row r="38" spans="1:20" s="19" customFormat="1" ht="27" customHeight="1" x14ac:dyDescent="0.3">
      <c r="A38" s="171" t="s">
        <v>131</v>
      </c>
      <c r="B38" s="172" t="s">
        <v>132</v>
      </c>
      <c r="C38" s="173"/>
      <c r="D38" s="466"/>
      <c r="E38" s="466"/>
      <c r="F38" s="466"/>
      <c r="G38" s="466"/>
      <c r="H38" s="466"/>
      <c r="I38" s="467"/>
      <c r="J38" s="466"/>
      <c r="K38" s="468"/>
      <c r="L38" s="468"/>
      <c r="M38" s="466"/>
      <c r="N38" s="468"/>
      <c r="O38" s="466"/>
      <c r="P38" s="469"/>
      <c r="Q38" s="466"/>
      <c r="R38" s="466"/>
      <c r="S38" s="470"/>
      <c r="T38" s="466"/>
    </row>
    <row r="39" spans="1:20" s="19" customFormat="1" ht="27" customHeight="1" x14ac:dyDescent="0.3">
      <c r="A39" s="171" t="s">
        <v>133</v>
      </c>
      <c r="B39" s="172" t="s">
        <v>134</v>
      </c>
      <c r="C39" s="172"/>
      <c r="D39" s="172"/>
      <c r="E39" s="172"/>
      <c r="F39" s="172"/>
      <c r="G39" s="172"/>
      <c r="H39" s="172"/>
      <c r="I39" s="312"/>
      <c r="J39" s="172"/>
      <c r="K39" s="172"/>
      <c r="L39" s="172"/>
      <c r="M39" s="172"/>
      <c r="N39" s="172"/>
      <c r="O39" s="172"/>
      <c r="P39" s="172"/>
      <c r="Q39" s="172"/>
      <c r="R39" s="172"/>
      <c r="S39" s="172"/>
      <c r="T39" s="172"/>
    </row>
    <row r="40" spans="1:20" s="19" customFormat="1" ht="40.5" customHeight="1" x14ac:dyDescent="0.3">
      <c r="A40" s="741" t="s">
        <v>135</v>
      </c>
      <c r="B40" s="908" t="s">
        <v>136</v>
      </c>
      <c r="C40" s="909"/>
      <c r="D40" s="909"/>
      <c r="E40" s="909"/>
      <c r="F40" s="909"/>
      <c r="G40" s="909"/>
      <c r="H40" s="909"/>
      <c r="I40" s="909"/>
      <c r="J40" s="909"/>
      <c r="K40" s="909"/>
      <c r="L40" s="909"/>
      <c r="M40" s="909"/>
      <c r="N40" s="909"/>
      <c r="O40" s="909"/>
      <c r="P40" s="909"/>
      <c r="Q40" s="909"/>
      <c r="R40" s="910"/>
      <c r="S40" s="742">
        <f>+S37+S18</f>
        <v>29844000</v>
      </c>
      <c r="T40" s="743" t="s">
        <v>137</v>
      </c>
    </row>
    <row r="41" spans="1:20" s="19" customFormat="1" ht="0.75" customHeight="1" x14ac:dyDescent="0.3">
      <c r="A41" s="740"/>
      <c r="B41" s="273"/>
      <c r="C41" s="273"/>
      <c r="D41" s="273"/>
      <c r="E41" s="273"/>
      <c r="F41" s="273"/>
      <c r="G41" s="273"/>
      <c r="H41" s="273"/>
      <c r="I41" s="273"/>
      <c r="J41" s="273"/>
      <c r="K41" s="273"/>
      <c r="L41" s="273"/>
      <c r="M41" s="273"/>
      <c r="N41" s="273"/>
      <c r="O41" s="273"/>
      <c r="P41" s="273"/>
      <c r="Q41" s="273"/>
      <c r="R41" s="273"/>
      <c r="S41" s="237"/>
      <c r="T41" s="233"/>
    </row>
    <row r="42" spans="1:20" ht="34.5" customHeight="1" x14ac:dyDescent="0.3">
      <c r="A42" s="474"/>
      <c r="B42" s="917" t="s">
        <v>138</v>
      </c>
      <c r="C42" s="917"/>
      <c r="D42" s="917"/>
      <c r="E42" s="917"/>
      <c r="F42" s="917"/>
      <c r="G42" s="917"/>
      <c r="H42" s="917"/>
      <c r="I42" s="917"/>
      <c r="J42" s="917"/>
      <c r="K42" s="917"/>
      <c r="L42" s="917"/>
      <c r="M42" s="917"/>
      <c r="N42" s="917"/>
      <c r="O42" s="917"/>
      <c r="P42" s="917"/>
      <c r="Q42" s="917"/>
      <c r="R42" s="917"/>
      <c r="S42" s="917"/>
      <c r="T42" s="474"/>
    </row>
    <row r="43" spans="1:20" ht="27" customHeight="1" x14ac:dyDescent="0.3">
      <c r="A43" s="474"/>
      <c r="B43" s="772" t="s">
        <v>1</v>
      </c>
      <c r="C43" s="772"/>
      <c r="D43" s="772"/>
      <c r="E43" s="772"/>
      <c r="F43" s="772"/>
      <c r="G43" s="772"/>
      <c r="H43" s="772"/>
      <c r="I43" s="772"/>
      <c r="J43" s="772"/>
      <c r="K43" s="772"/>
      <c r="L43" s="772"/>
      <c r="M43" s="772"/>
      <c r="N43" s="772"/>
      <c r="O43" s="772"/>
      <c r="P43" s="772"/>
      <c r="Q43" s="772"/>
      <c r="R43" s="772"/>
      <c r="S43" s="772"/>
      <c r="T43" s="474"/>
    </row>
    <row r="44" spans="1:20" ht="27" customHeight="1" x14ac:dyDescent="0.3">
      <c r="A44" s="474"/>
      <c r="B44" s="772" t="s">
        <v>2</v>
      </c>
      <c r="C44" s="772"/>
      <c r="D44" s="772"/>
      <c r="E44" s="772"/>
      <c r="F44" s="772"/>
      <c r="G44" s="772"/>
      <c r="H44" s="772"/>
      <c r="I44" s="772"/>
      <c r="J44" s="772"/>
      <c r="K44" s="772"/>
      <c r="L44" s="772"/>
      <c r="M44" s="772"/>
      <c r="N44" s="772"/>
      <c r="O44" s="772"/>
      <c r="P44" s="772"/>
      <c r="Q44" s="772"/>
      <c r="R44" s="772"/>
      <c r="S44" s="772"/>
      <c r="T44" s="474"/>
    </row>
    <row r="45" spans="1:20" ht="27" customHeight="1" x14ac:dyDescent="0.3">
      <c r="A45" s="475"/>
      <c r="B45" s="809" t="str">
        <f>B4</f>
        <v>(Kèm theo Quyết định số     /QĐ-UBND ngày     tháng     năm 2026 của Ủy ban nhân dân xã Thuận An)</v>
      </c>
      <c r="C45" s="809"/>
      <c r="D45" s="809"/>
      <c r="E45" s="809"/>
      <c r="F45" s="809"/>
      <c r="G45" s="809"/>
      <c r="H45" s="809"/>
      <c r="I45" s="809"/>
      <c r="J45" s="809"/>
      <c r="K45" s="809"/>
      <c r="L45" s="809"/>
      <c r="M45" s="809"/>
      <c r="N45" s="809"/>
      <c r="O45" s="809"/>
      <c r="P45" s="809"/>
      <c r="Q45" s="809"/>
      <c r="R45" s="809"/>
      <c r="S45" s="809"/>
      <c r="T45" s="475"/>
    </row>
    <row r="46" spans="1:20" s="19" customFormat="1" ht="45" customHeight="1" thickBot="1" x14ac:dyDescent="0.35">
      <c r="A46" s="272" t="s">
        <v>3</v>
      </c>
      <c r="B46" s="273" t="s">
        <v>4</v>
      </c>
      <c r="C46" s="233"/>
      <c r="D46" s="233"/>
      <c r="E46" s="233"/>
      <c r="F46" s="233"/>
      <c r="G46" s="233"/>
      <c r="H46" s="233"/>
      <c r="I46" s="234"/>
      <c r="J46" s="233"/>
      <c r="K46" s="235"/>
      <c r="L46" s="235"/>
      <c r="M46" s="233"/>
      <c r="N46" s="235"/>
      <c r="O46" s="233"/>
      <c r="P46" s="236"/>
      <c r="Q46" s="233"/>
      <c r="R46" s="233"/>
      <c r="S46" s="237"/>
      <c r="T46" s="233"/>
    </row>
    <row r="47" spans="1:20" s="19" customFormat="1" ht="107.25" customHeight="1" x14ac:dyDescent="0.3">
      <c r="A47" s="891" t="s">
        <v>5</v>
      </c>
      <c r="B47" s="894" t="s">
        <v>6</v>
      </c>
      <c r="C47" s="894" t="s">
        <v>7</v>
      </c>
      <c r="D47" s="897" t="s">
        <v>959</v>
      </c>
      <c r="E47" s="898"/>
      <c r="F47" s="899"/>
      <c r="G47" s="897" t="s">
        <v>960</v>
      </c>
      <c r="H47" s="898"/>
      <c r="I47" s="899"/>
      <c r="J47" s="897" t="s">
        <v>961</v>
      </c>
      <c r="K47" s="898"/>
      <c r="L47" s="899"/>
      <c r="M47" s="900" t="s">
        <v>8</v>
      </c>
      <c r="N47" s="900" t="s">
        <v>9</v>
      </c>
      <c r="O47" s="900" t="s">
        <v>10</v>
      </c>
      <c r="P47" s="903" t="s">
        <v>11</v>
      </c>
      <c r="Q47" s="903" t="s">
        <v>12</v>
      </c>
      <c r="R47" s="903" t="s">
        <v>13</v>
      </c>
      <c r="S47" s="894" t="s">
        <v>14</v>
      </c>
      <c r="T47" s="894" t="s">
        <v>15</v>
      </c>
    </row>
    <row r="48" spans="1:20" s="19" customFormat="1" ht="107.25" customHeight="1" x14ac:dyDescent="0.3">
      <c r="A48" s="892"/>
      <c r="B48" s="895"/>
      <c r="C48" s="895"/>
      <c r="D48" s="894" t="s">
        <v>16</v>
      </c>
      <c r="E48" s="897" t="s">
        <v>17</v>
      </c>
      <c r="F48" s="899"/>
      <c r="G48" s="894" t="s">
        <v>16</v>
      </c>
      <c r="H48" s="897" t="s">
        <v>17</v>
      </c>
      <c r="I48" s="899"/>
      <c r="J48" s="906" t="s">
        <v>18</v>
      </c>
      <c r="K48" s="897" t="s">
        <v>17</v>
      </c>
      <c r="L48" s="899"/>
      <c r="M48" s="901"/>
      <c r="N48" s="901"/>
      <c r="O48" s="901"/>
      <c r="P48" s="904"/>
      <c r="Q48" s="904"/>
      <c r="R48" s="904"/>
      <c r="S48" s="895"/>
      <c r="T48" s="895"/>
    </row>
    <row r="49" spans="1:20" s="19" customFormat="1" ht="107.25" customHeight="1" x14ac:dyDescent="0.3">
      <c r="A49" s="893"/>
      <c r="B49" s="896"/>
      <c r="C49" s="896"/>
      <c r="D49" s="896"/>
      <c r="E49" s="415" t="s">
        <v>962</v>
      </c>
      <c r="F49" s="415" t="s">
        <v>963</v>
      </c>
      <c r="G49" s="896"/>
      <c r="H49" s="415" t="s">
        <v>962</v>
      </c>
      <c r="I49" s="189" t="s">
        <v>963</v>
      </c>
      <c r="J49" s="907"/>
      <c r="K49" s="415" t="s">
        <v>962</v>
      </c>
      <c r="L49" s="415" t="s">
        <v>963</v>
      </c>
      <c r="M49" s="902"/>
      <c r="N49" s="902"/>
      <c r="O49" s="902"/>
      <c r="P49" s="905"/>
      <c r="Q49" s="905"/>
      <c r="R49" s="905"/>
      <c r="S49" s="896"/>
      <c r="T49" s="896"/>
    </row>
    <row r="50" spans="1:20" s="19" customFormat="1" ht="107.25" customHeight="1" x14ac:dyDescent="0.3">
      <c r="A50" s="187" t="s">
        <v>98</v>
      </c>
      <c r="B50" s="190" t="s">
        <v>139</v>
      </c>
      <c r="C50" s="424" t="s">
        <v>20</v>
      </c>
      <c r="D50" s="191">
        <f>E50+F50</f>
        <v>845</v>
      </c>
      <c r="E50" s="191">
        <v>200</v>
      </c>
      <c r="F50" s="191">
        <v>645</v>
      </c>
      <c r="G50" s="191">
        <f>380+465</f>
        <v>845</v>
      </c>
      <c r="H50" s="191">
        <v>200</v>
      </c>
      <c r="I50" s="192">
        <f>G50-H50</f>
        <v>645</v>
      </c>
      <c r="J50" s="191">
        <f>53.5+52.6</f>
        <v>106.1</v>
      </c>
      <c r="K50" s="191">
        <v>0</v>
      </c>
      <c r="L50" s="191">
        <f>+J50-K50</f>
        <v>106.1</v>
      </c>
      <c r="M50" s="193">
        <v>0</v>
      </c>
      <c r="N50" s="314">
        <f>(L50/F50)*100%</f>
        <v>0.16449612403100775</v>
      </c>
      <c r="O50" s="248" t="s">
        <v>21</v>
      </c>
      <c r="P50" s="195" t="s">
        <v>140</v>
      </c>
      <c r="Q50" s="195" t="s">
        <v>23</v>
      </c>
      <c r="R50" s="248" t="s">
        <v>24</v>
      </c>
      <c r="S50" s="248" t="s">
        <v>25</v>
      </c>
      <c r="T50" s="248" t="s">
        <v>1003</v>
      </c>
    </row>
    <row r="51" spans="1:20" s="19" customFormat="1" ht="107.25" customHeight="1" x14ac:dyDescent="0.3">
      <c r="A51" s="272" t="s">
        <v>27</v>
      </c>
      <c r="B51" s="300" t="s">
        <v>777</v>
      </c>
      <c r="C51" s="301"/>
      <c r="D51" s="301"/>
      <c r="E51" s="301"/>
      <c r="F51" s="301"/>
      <c r="G51" s="301"/>
      <c r="H51" s="301"/>
      <c r="I51" s="302"/>
      <c r="J51" s="301"/>
      <c r="K51" s="303"/>
      <c r="L51" s="303"/>
      <c r="M51" s="301"/>
      <c r="N51" s="303"/>
      <c r="O51" s="301"/>
      <c r="P51" s="304"/>
      <c r="Q51" s="301"/>
      <c r="R51" s="301"/>
      <c r="S51" s="301"/>
      <c r="T51" s="301"/>
    </row>
    <row r="52" spans="1:20" s="19" customFormat="1" ht="54" customHeight="1" x14ac:dyDescent="0.3">
      <c r="A52" s="889" t="s">
        <v>5</v>
      </c>
      <c r="B52" s="761" t="s">
        <v>663</v>
      </c>
      <c r="C52" s="761" t="s">
        <v>664</v>
      </c>
      <c r="D52" s="761" t="s">
        <v>665</v>
      </c>
      <c r="E52" s="761"/>
      <c r="F52" s="761"/>
      <c r="G52" s="761"/>
      <c r="H52" s="761" t="s">
        <v>666</v>
      </c>
      <c r="I52" s="760" t="s">
        <v>667</v>
      </c>
      <c r="J52" s="760"/>
      <c r="K52" s="760"/>
      <c r="L52" s="762" t="s">
        <v>668</v>
      </c>
      <c r="M52" s="762"/>
      <c r="N52" s="761" t="s">
        <v>43</v>
      </c>
      <c r="O52" s="761" t="s">
        <v>669</v>
      </c>
      <c r="P52" s="763" t="s">
        <v>670</v>
      </c>
      <c r="Q52" s="763" t="s">
        <v>42</v>
      </c>
      <c r="R52" s="761" t="s">
        <v>671</v>
      </c>
      <c r="S52" s="761" t="s">
        <v>44</v>
      </c>
      <c r="T52" s="761" t="s">
        <v>15</v>
      </c>
    </row>
    <row r="53" spans="1:20" s="19" customFormat="1" ht="92.25" customHeight="1" x14ac:dyDescent="0.3">
      <c r="A53" s="890"/>
      <c r="B53" s="761"/>
      <c r="C53" s="761"/>
      <c r="D53" s="407" t="s">
        <v>672</v>
      </c>
      <c r="E53" s="407" t="s">
        <v>673</v>
      </c>
      <c r="F53" s="407" t="s">
        <v>759</v>
      </c>
      <c r="G53" s="407" t="s">
        <v>17</v>
      </c>
      <c r="H53" s="761"/>
      <c r="I53" s="420" t="s">
        <v>674</v>
      </c>
      <c r="J53" s="418" t="s">
        <v>675</v>
      </c>
      <c r="K53" s="419" t="s">
        <v>676</v>
      </c>
      <c r="L53" s="419" t="s">
        <v>677</v>
      </c>
      <c r="M53" s="134" t="s">
        <v>678</v>
      </c>
      <c r="N53" s="761"/>
      <c r="O53" s="761"/>
      <c r="P53" s="763"/>
      <c r="Q53" s="763"/>
      <c r="R53" s="761"/>
      <c r="S53" s="761"/>
      <c r="T53" s="761"/>
    </row>
    <row r="54" spans="1:20" s="19" customFormat="1" ht="101.25" customHeight="1" x14ac:dyDescent="0.3">
      <c r="A54" s="315" t="s">
        <v>19</v>
      </c>
      <c r="B54" s="227" t="s">
        <v>679</v>
      </c>
      <c r="C54" s="228" t="s">
        <v>760</v>
      </c>
      <c r="D54" s="418" t="s">
        <v>98</v>
      </c>
      <c r="E54" s="418" t="s">
        <v>757</v>
      </c>
      <c r="F54" s="419">
        <v>53.5</v>
      </c>
      <c r="G54" s="420" t="s">
        <v>681</v>
      </c>
      <c r="H54" s="420" t="s">
        <v>761</v>
      </c>
      <c r="I54" s="420">
        <v>53.5</v>
      </c>
      <c r="J54" s="419">
        <v>0</v>
      </c>
      <c r="K54" s="419">
        <f>I54+J54</f>
        <v>53.5</v>
      </c>
      <c r="L54" s="419">
        <v>0</v>
      </c>
      <c r="M54" s="134"/>
      <c r="N54" s="260">
        <v>1</v>
      </c>
      <c r="O54" s="423">
        <v>1</v>
      </c>
      <c r="P54" s="231">
        <v>867000</v>
      </c>
      <c r="Q54" s="231">
        <f>+ROUND((P54*N54*K54),-3)</f>
        <v>46385000</v>
      </c>
      <c r="R54" s="231">
        <f>-ROUND((38000*J54*0.5%),-3)</f>
        <v>0</v>
      </c>
      <c r="S54" s="408">
        <f>+Q54+R54</f>
        <v>46385000</v>
      </c>
      <c r="T54" s="764" t="s">
        <v>833</v>
      </c>
    </row>
    <row r="55" spans="1:20" s="19" customFormat="1" ht="101.25" customHeight="1" x14ac:dyDescent="0.3">
      <c r="A55" s="315" t="s">
        <v>98</v>
      </c>
      <c r="B55" s="227" t="s">
        <v>679</v>
      </c>
      <c r="C55" s="228" t="s">
        <v>762</v>
      </c>
      <c r="D55" s="418" t="s">
        <v>107</v>
      </c>
      <c r="E55" s="418" t="s">
        <v>757</v>
      </c>
      <c r="F55" s="419">
        <v>52.6</v>
      </c>
      <c r="G55" s="420" t="s">
        <v>681</v>
      </c>
      <c r="H55" s="420" t="s">
        <v>763</v>
      </c>
      <c r="I55" s="420">
        <v>52.6</v>
      </c>
      <c r="J55" s="419">
        <v>0</v>
      </c>
      <c r="K55" s="419">
        <f>I55+J55</f>
        <v>52.6</v>
      </c>
      <c r="L55" s="419">
        <v>0</v>
      </c>
      <c r="M55" s="134"/>
      <c r="N55" s="260">
        <v>1</v>
      </c>
      <c r="O55" s="423">
        <v>1</v>
      </c>
      <c r="P55" s="231">
        <v>867000</v>
      </c>
      <c r="Q55" s="231">
        <f>+ROUND((P55*N55*K55),-3)</f>
        <v>45604000</v>
      </c>
      <c r="R55" s="231">
        <f>-ROUND((38000*J55*0.5%),-3)</f>
        <v>0</v>
      </c>
      <c r="S55" s="408">
        <f>+Q55+R55</f>
        <v>45604000</v>
      </c>
      <c r="T55" s="764"/>
    </row>
    <row r="56" spans="1:20" s="19" customFormat="1" ht="19.5" x14ac:dyDescent="0.3">
      <c r="A56" s="272" t="s">
        <v>28</v>
      </c>
      <c r="B56" s="273" t="s">
        <v>141</v>
      </c>
      <c r="C56" s="233"/>
      <c r="D56" s="233"/>
      <c r="E56" s="233"/>
      <c r="F56" s="233"/>
      <c r="G56" s="233"/>
      <c r="H56" s="233"/>
      <c r="I56" s="234"/>
      <c r="J56" s="233"/>
      <c r="K56" s="235"/>
      <c r="L56" s="235"/>
      <c r="M56" s="233"/>
      <c r="N56" s="235"/>
      <c r="O56" s="233"/>
      <c r="P56" s="236"/>
      <c r="Q56" s="237"/>
      <c r="R56" s="237"/>
      <c r="S56" s="238">
        <f>S68</f>
        <v>1674000</v>
      </c>
      <c r="T56" s="233"/>
    </row>
    <row r="57" spans="1:20" s="19" customFormat="1" ht="53.25" customHeight="1" x14ac:dyDescent="0.3">
      <c r="A57" s="800" t="s">
        <v>5</v>
      </c>
      <c r="B57" s="802" t="s">
        <v>30</v>
      </c>
      <c r="C57" s="802" t="s">
        <v>31</v>
      </c>
      <c r="D57" s="802" t="s">
        <v>32</v>
      </c>
      <c r="E57" s="803" t="s">
        <v>33</v>
      </c>
      <c r="F57" s="758"/>
      <c r="G57" s="802" t="s">
        <v>34</v>
      </c>
      <c r="H57" s="802" t="s">
        <v>35</v>
      </c>
      <c r="I57" s="804" t="s">
        <v>36</v>
      </c>
      <c r="J57" s="758"/>
      <c r="K57" s="769" t="s">
        <v>37</v>
      </c>
      <c r="L57" s="769" t="s">
        <v>38</v>
      </c>
      <c r="M57" s="805" t="s">
        <v>39</v>
      </c>
      <c r="N57" s="802" t="s">
        <v>839</v>
      </c>
      <c r="O57" s="802" t="s">
        <v>967</v>
      </c>
      <c r="P57" s="806" t="s">
        <v>41</v>
      </c>
      <c r="Q57" s="806" t="s">
        <v>42</v>
      </c>
      <c r="R57" s="802" t="s">
        <v>43</v>
      </c>
      <c r="S57" s="802" t="s">
        <v>44</v>
      </c>
      <c r="T57" s="807" t="s">
        <v>15</v>
      </c>
    </row>
    <row r="58" spans="1:20" s="19" customFormat="1" ht="56.25" x14ac:dyDescent="0.3">
      <c r="A58" s="801"/>
      <c r="B58" s="766"/>
      <c r="C58" s="766"/>
      <c r="D58" s="766"/>
      <c r="E58" s="167" t="s">
        <v>45</v>
      </c>
      <c r="F58" s="167" t="s">
        <v>46</v>
      </c>
      <c r="G58" s="766"/>
      <c r="H58" s="766"/>
      <c r="I58" s="140" t="s">
        <v>47</v>
      </c>
      <c r="J58" s="143" t="s">
        <v>48</v>
      </c>
      <c r="K58" s="766"/>
      <c r="L58" s="766"/>
      <c r="M58" s="766"/>
      <c r="N58" s="766"/>
      <c r="O58" s="766"/>
      <c r="P58" s="766"/>
      <c r="Q58" s="766"/>
      <c r="R58" s="766"/>
      <c r="S58" s="766"/>
      <c r="T58" s="808"/>
    </row>
    <row r="59" spans="1:20" s="19" customFormat="1" ht="37.5" x14ac:dyDescent="0.3">
      <c r="A59" s="316" t="s">
        <v>142</v>
      </c>
      <c r="B59" s="167" t="s">
        <v>143</v>
      </c>
      <c r="C59" s="167"/>
      <c r="D59" s="167"/>
      <c r="E59" s="167"/>
      <c r="F59" s="167"/>
      <c r="G59" s="167"/>
      <c r="H59" s="167"/>
      <c r="I59" s="140"/>
      <c r="J59" s="143"/>
      <c r="K59" s="159"/>
      <c r="L59" s="159"/>
      <c r="M59" s="241"/>
      <c r="N59" s="167"/>
      <c r="O59" s="167"/>
      <c r="P59" s="45"/>
      <c r="Q59" s="45"/>
      <c r="R59" s="167"/>
      <c r="S59" s="167"/>
      <c r="T59" s="317"/>
    </row>
    <row r="60" spans="1:20" s="19" customFormat="1" ht="18.75" x14ac:dyDescent="0.3">
      <c r="A60" s="147"/>
      <c r="B60" s="146" t="s">
        <v>835</v>
      </c>
      <c r="C60" s="148"/>
      <c r="D60" s="147"/>
      <c r="E60" s="147"/>
      <c r="F60" s="147"/>
      <c r="G60" s="149"/>
      <c r="H60" s="149"/>
      <c r="I60" s="150"/>
      <c r="J60" s="149"/>
      <c r="K60" s="147"/>
      <c r="L60" s="151"/>
      <c r="M60" s="152"/>
      <c r="N60" s="152"/>
      <c r="O60" s="153"/>
      <c r="P60" s="151"/>
      <c r="Q60" s="154"/>
      <c r="R60" s="154"/>
      <c r="S60" s="154">
        <f>SUM(S61:S64)</f>
        <v>1590000</v>
      </c>
      <c r="T60" s="147"/>
    </row>
    <row r="61" spans="1:20" s="19" customFormat="1" ht="49.5" customHeight="1" x14ac:dyDescent="0.3">
      <c r="A61" s="310" t="s">
        <v>19</v>
      </c>
      <c r="B61" s="318" t="s">
        <v>144</v>
      </c>
      <c r="C61" s="311" t="s">
        <v>145</v>
      </c>
      <c r="D61" s="52"/>
      <c r="E61" s="138" t="s">
        <v>27</v>
      </c>
      <c r="F61" s="139" t="s">
        <v>52</v>
      </c>
      <c r="G61" s="138" t="s">
        <v>146</v>
      </c>
      <c r="H61" s="138" t="s">
        <v>21</v>
      </c>
      <c r="I61" s="140" t="s">
        <v>147</v>
      </c>
      <c r="J61" s="141"/>
      <c r="K61" s="142">
        <v>2</v>
      </c>
      <c r="L61" s="142">
        <f>K61</f>
        <v>2</v>
      </c>
      <c r="M61" s="52" t="s">
        <v>54</v>
      </c>
      <c r="N61" s="143">
        <f>10000/1500</f>
        <v>6.666666666666667</v>
      </c>
      <c r="O61" s="143">
        <f>N61*L61</f>
        <v>13.333333333333334</v>
      </c>
      <c r="P61" s="144">
        <v>452000</v>
      </c>
      <c r="Q61" s="144">
        <f>+ROUND((L61*P61),-3)</f>
        <v>904000</v>
      </c>
      <c r="R61" s="145">
        <v>1</v>
      </c>
      <c r="S61" s="144">
        <f>+Q61*R61</f>
        <v>904000</v>
      </c>
      <c r="T61" s="52" t="s">
        <v>148</v>
      </c>
    </row>
    <row r="62" spans="1:20" s="19" customFormat="1" ht="39" customHeight="1" x14ac:dyDescent="0.3">
      <c r="A62" s="310" t="s">
        <v>98</v>
      </c>
      <c r="B62" s="311" t="s">
        <v>149</v>
      </c>
      <c r="C62" s="156" t="s">
        <v>971</v>
      </c>
      <c r="D62" s="52"/>
      <c r="E62" s="138" t="s">
        <v>27</v>
      </c>
      <c r="F62" s="139" t="s">
        <v>150</v>
      </c>
      <c r="G62" s="138" t="s">
        <v>146</v>
      </c>
      <c r="H62" s="138" t="s">
        <v>21</v>
      </c>
      <c r="I62" s="140" t="s">
        <v>151</v>
      </c>
      <c r="J62" s="141"/>
      <c r="K62" s="142">
        <v>1</v>
      </c>
      <c r="L62" s="142">
        <f>K62</f>
        <v>1</v>
      </c>
      <c r="M62" s="52" t="s">
        <v>54</v>
      </c>
      <c r="N62" s="143">
        <f>10000/1750</f>
        <v>5.7142857142857144</v>
      </c>
      <c r="O62" s="143">
        <f t="shared" ref="O62:O64" si="5">N62*L62</f>
        <v>5.7142857142857144</v>
      </c>
      <c r="P62" s="144">
        <v>98000</v>
      </c>
      <c r="Q62" s="144">
        <f>+ROUND((L62*P62),-3)</f>
        <v>98000</v>
      </c>
      <c r="R62" s="145">
        <v>1</v>
      </c>
      <c r="S62" s="144">
        <f>+Q62*R62</f>
        <v>98000</v>
      </c>
      <c r="T62" s="52" t="s">
        <v>148</v>
      </c>
    </row>
    <row r="63" spans="1:20" s="19" customFormat="1" ht="39" customHeight="1" x14ac:dyDescent="0.3">
      <c r="A63" s="310" t="s">
        <v>104</v>
      </c>
      <c r="B63" s="318" t="s">
        <v>834</v>
      </c>
      <c r="C63" s="311" t="s">
        <v>977</v>
      </c>
      <c r="D63" s="52" t="s">
        <v>51</v>
      </c>
      <c r="E63" s="138" t="s">
        <v>27</v>
      </c>
      <c r="F63" s="139" t="s">
        <v>152</v>
      </c>
      <c r="G63" s="138" t="s">
        <v>146</v>
      </c>
      <c r="H63" s="138" t="s">
        <v>21</v>
      </c>
      <c r="I63" s="140" t="s">
        <v>147</v>
      </c>
      <c r="J63" s="141">
        <f>2025-I63-3</f>
        <v>22</v>
      </c>
      <c r="K63" s="142">
        <v>1</v>
      </c>
      <c r="L63" s="142">
        <f>K63</f>
        <v>1</v>
      </c>
      <c r="M63" s="52" t="s">
        <v>54</v>
      </c>
      <c r="N63" s="143">
        <f>10000/1111</f>
        <v>9.0009000900090008</v>
      </c>
      <c r="O63" s="143">
        <f t="shared" si="5"/>
        <v>9.0009000900090008</v>
      </c>
      <c r="P63" s="144">
        <v>357360</v>
      </c>
      <c r="Q63" s="144">
        <f>+ROUND((L63*P63),-3)</f>
        <v>357000</v>
      </c>
      <c r="R63" s="145">
        <v>1</v>
      </c>
      <c r="S63" s="144">
        <f>+Q63*R63</f>
        <v>357000</v>
      </c>
      <c r="T63" s="52" t="s">
        <v>153</v>
      </c>
    </row>
    <row r="64" spans="1:20" s="19" customFormat="1" ht="39" customHeight="1" x14ac:dyDescent="0.3">
      <c r="A64" s="310" t="s">
        <v>107</v>
      </c>
      <c r="B64" s="318" t="s">
        <v>249</v>
      </c>
      <c r="C64" s="311" t="s">
        <v>978</v>
      </c>
      <c r="D64" s="52" t="s">
        <v>51</v>
      </c>
      <c r="E64" s="138" t="s">
        <v>27</v>
      </c>
      <c r="F64" s="139" t="s">
        <v>154</v>
      </c>
      <c r="G64" s="138" t="s">
        <v>146</v>
      </c>
      <c r="H64" s="138" t="s">
        <v>21</v>
      </c>
      <c r="I64" s="140" t="s">
        <v>147</v>
      </c>
      <c r="J64" s="141">
        <f>2025-I64-5</f>
        <v>20</v>
      </c>
      <c r="K64" s="142">
        <v>1</v>
      </c>
      <c r="L64" s="142">
        <f>K64</f>
        <v>1</v>
      </c>
      <c r="M64" s="52" t="s">
        <v>54</v>
      </c>
      <c r="N64" s="143">
        <f>10000/1200</f>
        <v>8.3333333333333339</v>
      </c>
      <c r="O64" s="143">
        <f t="shared" si="5"/>
        <v>8.3333333333333339</v>
      </c>
      <c r="P64" s="144">
        <v>230760</v>
      </c>
      <c r="Q64" s="144">
        <f>+ROUND((L64*P64),-3)</f>
        <v>231000</v>
      </c>
      <c r="R64" s="145">
        <v>1</v>
      </c>
      <c r="S64" s="144">
        <f>+Q64*R64</f>
        <v>231000</v>
      </c>
      <c r="T64" s="52" t="s">
        <v>153</v>
      </c>
    </row>
    <row r="65" spans="1:20" s="19" customFormat="1" ht="40.5" customHeight="1" x14ac:dyDescent="0.3">
      <c r="A65" s="147" t="s">
        <v>836</v>
      </c>
      <c r="B65" s="287" t="s">
        <v>837</v>
      </c>
      <c r="C65" s="288"/>
      <c r="D65" s="289"/>
      <c r="E65" s="289"/>
      <c r="F65" s="289"/>
      <c r="G65" s="290"/>
      <c r="H65" s="290"/>
      <c r="I65" s="291"/>
      <c r="J65" s="290"/>
      <c r="K65" s="292"/>
      <c r="L65" s="293"/>
      <c r="M65" s="293"/>
      <c r="N65" s="293"/>
      <c r="O65" s="294"/>
      <c r="P65" s="293"/>
      <c r="Q65" s="295"/>
      <c r="R65" s="295"/>
      <c r="S65" s="154">
        <f>S66</f>
        <v>84000</v>
      </c>
      <c r="T65" s="289"/>
    </row>
    <row r="66" spans="1:20" s="19" customFormat="1" ht="18.75" x14ac:dyDescent="0.3">
      <c r="A66" s="289"/>
      <c r="B66" s="146" t="s">
        <v>838</v>
      </c>
      <c r="C66" s="296"/>
      <c r="D66" s="289"/>
      <c r="E66" s="289"/>
      <c r="F66" s="289"/>
      <c r="G66" s="290"/>
      <c r="H66" s="290"/>
      <c r="I66" s="291"/>
      <c r="J66" s="290"/>
      <c r="K66" s="292"/>
      <c r="L66" s="293"/>
      <c r="M66" s="293"/>
      <c r="N66" s="293"/>
      <c r="O66" s="294"/>
      <c r="P66" s="293"/>
      <c r="Q66" s="295"/>
      <c r="R66" s="295"/>
      <c r="S66" s="154">
        <f>SUM(S67)</f>
        <v>84000</v>
      </c>
      <c r="T66" s="289"/>
    </row>
    <row r="67" spans="1:20" s="19" customFormat="1" ht="54.75" customHeight="1" x14ac:dyDescent="0.3">
      <c r="A67" s="310" t="s">
        <v>110</v>
      </c>
      <c r="B67" s="311" t="s">
        <v>155</v>
      </c>
      <c r="C67" s="311" t="s">
        <v>156</v>
      </c>
      <c r="D67" s="52"/>
      <c r="E67" s="138" t="s">
        <v>27</v>
      </c>
      <c r="F67" s="139" t="s">
        <v>157</v>
      </c>
      <c r="G67" s="138" t="s">
        <v>146</v>
      </c>
      <c r="H67" s="138" t="s">
        <v>21</v>
      </c>
      <c r="I67" s="140">
        <v>2015</v>
      </c>
      <c r="J67" s="141">
        <f>2025-I67-3</f>
        <v>7</v>
      </c>
      <c r="K67" s="142">
        <v>1</v>
      </c>
      <c r="L67" s="142">
        <f>K67</f>
        <v>1</v>
      </c>
      <c r="M67" s="52" t="s">
        <v>158</v>
      </c>
      <c r="N67" s="143"/>
      <c r="O67" s="143"/>
      <c r="P67" s="144">
        <v>84000</v>
      </c>
      <c r="Q67" s="144">
        <f>+ROUND((L67*P67),-3)</f>
        <v>84000</v>
      </c>
      <c r="R67" s="145">
        <v>1</v>
      </c>
      <c r="S67" s="144">
        <f>+ROUND((Q67*R67),-3)</f>
        <v>84000</v>
      </c>
      <c r="T67" s="52" t="s">
        <v>153</v>
      </c>
    </row>
    <row r="68" spans="1:20" s="19" customFormat="1" ht="18.75" x14ac:dyDescent="0.3">
      <c r="A68" s="239"/>
      <c r="B68" s="166" t="s">
        <v>55</v>
      </c>
      <c r="C68" s="166"/>
      <c r="D68" s="240"/>
      <c r="E68" s="159"/>
      <c r="F68" s="167"/>
      <c r="G68" s="167"/>
      <c r="H68" s="167"/>
      <c r="I68" s="168"/>
      <c r="J68" s="167"/>
      <c r="K68" s="167"/>
      <c r="L68" s="167"/>
      <c r="M68" s="167"/>
      <c r="N68" s="167"/>
      <c r="O68" s="167"/>
      <c r="P68" s="167"/>
      <c r="Q68" s="167"/>
      <c r="R68" s="45"/>
      <c r="S68" s="45">
        <f>S60+S65</f>
        <v>1674000</v>
      </c>
      <c r="T68" s="185"/>
    </row>
    <row r="69" spans="1:20" s="19" customFormat="1" ht="19.5" x14ac:dyDescent="0.3">
      <c r="A69" s="272" t="s">
        <v>56</v>
      </c>
      <c r="B69" s="273" t="s">
        <v>159</v>
      </c>
      <c r="C69" s="233"/>
      <c r="D69" s="233"/>
      <c r="E69" s="233"/>
      <c r="F69" s="233"/>
      <c r="G69" s="233"/>
      <c r="H69" s="233"/>
      <c r="I69" s="234"/>
      <c r="J69" s="233"/>
      <c r="K69" s="235"/>
      <c r="L69" s="235"/>
      <c r="M69" s="233"/>
      <c r="N69" s="235"/>
      <c r="O69" s="233"/>
      <c r="P69" s="236"/>
      <c r="Q69" s="233"/>
      <c r="R69" s="233"/>
      <c r="S69" s="237"/>
      <c r="T69" s="233"/>
    </row>
    <row r="70" spans="1:20" s="19" customFormat="1" ht="18.75" customHeight="1" x14ac:dyDescent="0.3">
      <c r="A70" s="765"/>
      <c r="B70" s="767" t="s">
        <v>51</v>
      </c>
      <c r="C70" s="767" t="s">
        <v>58</v>
      </c>
      <c r="D70" s="768" t="s">
        <v>59</v>
      </c>
      <c r="E70" s="769" t="s">
        <v>60</v>
      </c>
      <c r="F70" s="769" t="s">
        <v>61</v>
      </c>
      <c r="G70" s="769" t="s">
        <v>62</v>
      </c>
      <c r="H70" s="769" t="s">
        <v>63</v>
      </c>
      <c r="I70" s="770" t="s">
        <v>64</v>
      </c>
      <c r="J70" s="757"/>
      <c r="K70" s="757"/>
      <c r="L70" s="757"/>
      <c r="M70" s="758"/>
      <c r="N70" s="771" t="s">
        <v>3</v>
      </c>
      <c r="O70" s="771" t="s">
        <v>65</v>
      </c>
      <c r="P70" s="771" t="s">
        <v>66</v>
      </c>
      <c r="Q70" s="771" t="s">
        <v>67</v>
      </c>
      <c r="R70" s="767" t="s">
        <v>68</v>
      </c>
      <c r="S70" s="767" t="s">
        <v>69</v>
      </c>
      <c r="T70" s="767" t="s">
        <v>70</v>
      </c>
    </row>
    <row r="71" spans="1:20" s="19" customFormat="1" ht="18.75" customHeight="1" x14ac:dyDescent="0.3">
      <c r="A71" s="766"/>
      <c r="B71" s="766"/>
      <c r="C71" s="766"/>
      <c r="D71" s="766"/>
      <c r="E71" s="766"/>
      <c r="F71" s="766"/>
      <c r="G71" s="766"/>
      <c r="H71" s="766"/>
      <c r="I71" s="168" t="s">
        <v>71</v>
      </c>
      <c r="J71" s="159" t="s">
        <v>72</v>
      </c>
      <c r="K71" s="159" t="s">
        <v>73</v>
      </c>
      <c r="L71" s="45" t="s">
        <v>74</v>
      </c>
      <c r="M71" s="204" t="s">
        <v>75</v>
      </c>
      <c r="N71" s="766"/>
      <c r="O71" s="766"/>
      <c r="P71" s="766"/>
      <c r="Q71" s="766"/>
      <c r="R71" s="766"/>
      <c r="S71" s="766"/>
      <c r="T71" s="766"/>
    </row>
    <row r="72" spans="1:20" s="19" customFormat="1" ht="75" x14ac:dyDescent="0.3">
      <c r="A72" s="196" t="s">
        <v>5</v>
      </c>
      <c r="B72" s="49" t="s">
        <v>76</v>
      </c>
      <c r="C72" s="49" t="s">
        <v>77</v>
      </c>
      <c r="D72" s="49" t="s">
        <v>78</v>
      </c>
      <c r="E72" s="159" t="s">
        <v>79</v>
      </c>
      <c r="F72" s="159" t="s">
        <v>80</v>
      </c>
      <c r="G72" s="159" t="s">
        <v>81</v>
      </c>
      <c r="H72" s="45" t="s">
        <v>82</v>
      </c>
      <c r="I72" s="168" t="s">
        <v>83</v>
      </c>
      <c r="J72" s="242" t="s">
        <v>84</v>
      </c>
      <c r="K72" s="242" t="s">
        <v>85</v>
      </c>
      <c r="L72" s="49" t="s">
        <v>86</v>
      </c>
      <c r="M72" s="204" t="s">
        <v>87</v>
      </c>
      <c r="N72" s="159" t="s">
        <v>88</v>
      </c>
      <c r="O72" s="159" t="s">
        <v>89</v>
      </c>
      <c r="P72" s="159" t="s">
        <v>90</v>
      </c>
      <c r="Q72" s="159" t="s">
        <v>91</v>
      </c>
      <c r="R72" s="159" t="s">
        <v>92</v>
      </c>
      <c r="S72" s="159" t="s">
        <v>964</v>
      </c>
      <c r="T72" s="159" t="s">
        <v>15</v>
      </c>
    </row>
    <row r="73" spans="1:20" ht="18.75" x14ac:dyDescent="0.3">
      <c r="A73" s="490" t="s">
        <v>142</v>
      </c>
      <c r="B73" s="915" t="s">
        <v>143</v>
      </c>
      <c r="C73" s="916"/>
      <c r="D73" s="491"/>
      <c r="E73" s="458"/>
      <c r="F73" s="458"/>
      <c r="G73" s="458"/>
      <c r="H73" s="459"/>
      <c r="I73" s="492"/>
      <c r="J73" s="493"/>
      <c r="K73" s="493"/>
      <c r="L73" s="491"/>
      <c r="M73" s="494"/>
      <c r="N73" s="458"/>
      <c r="O73" s="458"/>
      <c r="P73" s="458"/>
      <c r="Q73" s="458"/>
      <c r="R73" s="458"/>
      <c r="S73" s="458"/>
      <c r="T73" s="458"/>
    </row>
    <row r="74" spans="1:20" ht="157.5" customHeight="1" x14ac:dyDescent="0.3">
      <c r="A74" s="453" t="s">
        <v>19</v>
      </c>
      <c r="B74" s="454" t="s">
        <v>160</v>
      </c>
      <c r="C74" s="454" t="s">
        <v>1004</v>
      </c>
      <c r="D74" s="465" t="s">
        <v>94</v>
      </c>
      <c r="E74" s="465" t="s">
        <v>161</v>
      </c>
      <c r="F74" s="458"/>
      <c r="G74" s="457">
        <f t="shared" ref="G74:G84" si="6">2026-E74</f>
        <v>32</v>
      </c>
      <c r="H74" s="460" t="s">
        <v>95</v>
      </c>
      <c r="I74" s="461">
        <f>0.5*6.1*(2.7+3.7)</f>
        <v>19.52</v>
      </c>
      <c r="J74" s="461" t="s">
        <v>96</v>
      </c>
      <c r="K74" s="460">
        <f t="shared" ref="K74:K84" si="7">+I74-J74</f>
        <v>19.52</v>
      </c>
      <c r="L74" s="462">
        <v>0.99199999999999999</v>
      </c>
      <c r="M74" s="463">
        <v>2418000</v>
      </c>
      <c r="N74" s="464">
        <v>0.8</v>
      </c>
      <c r="O74" s="463">
        <f>M74*55%</f>
        <v>1329900</v>
      </c>
      <c r="P74" s="459">
        <f t="shared" ref="P74:P84" si="8">+ROUND((K74*L74*O74*N74),-3)</f>
        <v>20602000</v>
      </c>
      <c r="Q74" s="463" t="s">
        <v>97</v>
      </c>
      <c r="R74" s="463" t="s">
        <v>97</v>
      </c>
      <c r="S74" s="459">
        <f t="shared" ref="S74:S84" si="9">P74</f>
        <v>20602000</v>
      </c>
      <c r="T74" s="460" t="s">
        <v>1005</v>
      </c>
    </row>
    <row r="75" spans="1:20" ht="32.25" customHeight="1" x14ac:dyDescent="0.3">
      <c r="A75" s="453" t="s">
        <v>101</v>
      </c>
      <c r="B75" s="454" t="s">
        <v>102</v>
      </c>
      <c r="C75" s="454" t="s">
        <v>162</v>
      </c>
      <c r="D75" s="465" t="s">
        <v>94</v>
      </c>
      <c r="E75" s="465" t="s">
        <v>161</v>
      </c>
      <c r="F75" s="458"/>
      <c r="G75" s="457">
        <f t="shared" si="6"/>
        <v>32</v>
      </c>
      <c r="H75" s="460" t="s">
        <v>95</v>
      </c>
      <c r="I75" s="461">
        <f>6.1*(3.7 +2.7)/2</f>
        <v>19.52</v>
      </c>
      <c r="J75" s="461" t="s">
        <v>96</v>
      </c>
      <c r="K75" s="460">
        <f t="shared" si="7"/>
        <v>19.52</v>
      </c>
      <c r="L75" s="462">
        <v>0.99199999999999999</v>
      </c>
      <c r="M75" s="463">
        <v>103000</v>
      </c>
      <c r="N75" s="464">
        <v>0.8</v>
      </c>
      <c r="O75" s="463">
        <v>103000</v>
      </c>
      <c r="P75" s="459">
        <f t="shared" si="8"/>
        <v>1596000</v>
      </c>
      <c r="Q75" s="463" t="s">
        <v>97</v>
      </c>
      <c r="R75" s="463" t="s">
        <v>97</v>
      </c>
      <c r="S75" s="459">
        <f t="shared" si="9"/>
        <v>1596000</v>
      </c>
      <c r="T75" s="460" t="s">
        <v>1006</v>
      </c>
    </row>
    <row r="76" spans="1:20" ht="42.75" customHeight="1" x14ac:dyDescent="0.3">
      <c r="A76" s="453" t="s">
        <v>97</v>
      </c>
      <c r="B76" s="454" t="s">
        <v>163</v>
      </c>
      <c r="C76" s="454" t="s">
        <v>164</v>
      </c>
      <c r="D76" s="465" t="s">
        <v>94</v>
      </c>
      <c r="E76" s="465" t="s">
        <v>161</v>
      </c>
      <c r="F76" s="458"/>
      <c r="G76" s="457">
        <f t="shared" si="6"/>
        <v>32</v>
      </c>
      <c r="H76" s="460" t="s">
        <v>95</v>
      </c>
      <c r="I76" s="461">
        <f>6.1*(3.7 +2.7)/2</f>
        <v>19.52</v>
      </c>
      <c r="J76" s="461" t="s">
        <v>96</v>
      </c>
      <c r="K76" s="460">
        <f t="shared" si="7"/>
        <v>19.52</v>
      </c>
      <c r="L76" s="462">
        <v>0.99199999999999999</v>
      </c>
      <c r="M76" s="495">
        <v>-262000</v>
      </c>
      <c r="N76" s="464">
        <v>0.8</v>
      </c>
      <c r="O76" s="495">
        <f>M76</f>
        <v>-262000</v>
      </c>
      <c r="P76" s="496">
        <f t="shared" si="8"/>
        <v>-4059000</v>
      </c>
      <c r="Q76" s="463" t="s">
        <v>97</v>
      </c>
      <c r="R76" s="463" t="s">
        <v>97</v>
      </c>
      <c r="S76" s="496">
        <f t="shared" si="9"/>
        <v>-4059000</v>
      </c>
      <c r="T76" s="460" t="s">
        <v>1007</v>
      </c>
    </row>
    <row r="77" spans="1:20" ht="55.5" customHeight="1" x14ac:dyDescent="0.3">
      <c r="A77" s="453" t="s">
        <v>98</v>
      </c>
      <c r="B77" s="454" t="s">
        <v>120</v>
      </c>
      <c r="C77" s="454" t="s">
        <v>165</v>
      </c>
      <c r="D77" s="465" t="s">
        <v>94</v>
      </c>
      <c r="E77" s="465" t="s">
        <v>161</v>
      </c>
      <c r="F77" s="458"/>
      <c r="G77" s="457">
        <f t="shared" si="6"/>
        <v>32</v>
      </c>
      <c r="H77" s="460" t="s">
        <v>95</v>
      </c>
      <c r="I77" s="461">
        <f>9.4*2.4</f>
        <v>22.56</v>
      </c>
      <c r="J77" s="461" t="s">
        <v>96</v>
      </c>
      <c r="K77" s="460">
        <f t="shared" si="7"/>
        <v>22.56</v>
      </c>
      <c r="L77" s="462">
        <v>0.99199999999999999</v>
      </c>
      <c r="M77" s="463">
        <v>268000</v>
      </c>
      <c r="N77" s="464">
        <v>0.8</v>
      </c>
      <c r="O77" s="463">
        <f>+M77</f>
        <v>268000</v>
      </c>
      <c r="P77" s="459">
        <f t="shared" si="8"/>
        <v>4798000</v>
      </c>
      <c r="Q77" s="463" t="s">
        <v>97</v>
      </c>
      <c r="R77" s="463" t="s">
        <v>97</v>
      </c>
      <c r="S77" s="459">
        <f t="shared" si="9"/>
        <v>4798000</v>
      </c>
      <c r="T77" s="460" t="s">
        <v>166</v>
      </c>
    </row>
    <row r="78" spans="1:20" ht="51.75" customHeight="1" x14ac:dyDescent="0.3">
      <c r="A78" s="453" t="s">
        <v>104</v>
      </c>
      <c r="B78" s="454" t="s">
        <v>120</v>
      </c>
      <c r="C78" s="454" t="s">
        <v>167</v>
      </c>
      <c r="D78" s="465" t="s">
        <v>94</v>
      </c>
      <c r="E78" s="465" t="s">
        <v>161</v>
      </c>
      <c r="F78" s="458"/>
      <c r="G78" s="457">
        <f t="shared" si="6"/>
        <v>32</v>
      </c>
      <c r="H78" s="460" t="s">
        <v>95</v>
      </c>
      <c r="I78" s="461">
        <f>2.1*2.5</f>
        <v>5.25</v>
      </c>
      <c r="J78" s="461" t="s">
        <v>96</v>
      </c>
      <c r="K78" s="460">
        <f t="shared" si="7"/>
        <v>5.25</v>
      </c>
      <c r="L78" s="462">
        <v>0.99199999999999999</v>
      </c>
      <c r="M78" s="463">
        <v>268000</v>
      </c>
      <c r="N78" s="464">
        <v>0.8</v>
      </c>
      <c r="O78" s="463">
        <f>+M78</f>
        <v>268000</v>
      </c>
      <c r="P78" s="459">
        <f t="shared" si="8"/>
        <v>1117000</v>
      </c>
      <c r="Q78" s="463" t="s">
        <v>97</v>
      </c>
      <c r="R78" s="463" t="s">
        <v>97</v>
      </c>
      <c r="S78" s="459">
        <f t="shared" si="9"/>
        <v>1117000</v>
      </c>
      <c r="T78" s="460" t="s">
        <v>166</v>
      </c>
    </row>
    <row r="79" spans="1:20" ht="134.25" customHeight="1" x14ac:dyDescent="0.3">
      <c r="A79" s="453" t="s">
        <v>107</v>
      </c>
      <c r="B79" s="454" t="s">
        <v>93</v>
      </c>
      <c r="C79" s="454" t="s">
        <v>1008</v>
      </c>
      <c r="D79" s="465" t="s">
        <v>94</v>
      </c>
      <c r="E79" s="465" t="s">
        <v>161</v>
      </c>
      <c r="F79" s="458"/>
      <c r="G79" s="457">
        <f t="shared" si="6"/>
        <v>32</v>
      </c>
      <c r="H79" s="460" t="s">
        <v>95</v>
      </c>
      <c r="I79" s="461">
        <f>5.7*2.3</f>
        <v>13.11</v>
      </c>
      <c r="J79" s="461" t="s">
        <v>96</v>
      </c>
      <c r="K79" s="460">
        <f t="shared" si="7"/>
        <v>13.11</v>
      </c>
      <c r="L79" s="462">
        <v>0.99199999999999999</v>
      </c>
      <c r="M79" s="463">
        <f>1487000</f>
        <v>1487000</v>
      </c>
      <c r="N79" s="464">
        <v>0.8</v>
      </c>
      <c r="O79" s="463">
        <f>M79*80%*90%</f>
        <v>1070640</v>
      </c>
      <c r="P79" s="459">
        <f t="shared" si="8"/>
        <v>11139000</v>
      </c>
      <c r="Q79" s="463" t="s">
        <v>97</v>
      </c>
      <c r="R79" s="463" t="s">
        <v>97</v>
      </c>
      <c r="S79" s="459">
        <f t="shared" si="9"/>
        <v>11139000</v>
      </c>
      <c r="T79" s="460" t="s">
        <v>1009</v>
      </c>
    </row>
    <row r="80" spans="1:20" ht="63.75" customHeight="1" x14ac:dyDescent="0.3">
      <c r="A80" s="453" t="s">
        <v>110</v>
      </c>
      <c r="B80" s="454" t="s">
        <v>99</v>
      </c>
      <c r="C80" s="454" t="s">
        <v>168</v>
      </c>
      <c r="D80" s="465" t="s">
        <v>100</v>
      </c>
      <c r="E80" s="465" t="s">
        <v>161</v>
      </c>
      <c r="F80" s="458"/>
      <c r="G80" s="457">
        <f t="shared" si="6"/>
        <v>32</v>
      </c>
      <c r="H80" s="460" t="s">
        <v>95</v>
      </c>
      <c r="I80" s="461">
        <f>((0.4*0.4)*2.5)*2</f>
        <v>0.80000000000000016</v>
      </c>
      <c r="J80" s="461" t="s">
        <v>96</v>
      </c>
      <c r="K80" s="460">
        <f t="shared" si="7"/>
        <v>0.80000000000000016</v>
      </c>
      <c r="L80" s="462">
        <v>0.99199999999999999</v>
      </c>
      <c r="M80" s="463">
        <v>2556000</v>
      </c>
      <c r="N80" s="464">
        <v>0.8</v>
      </c>
      <c r="O80" s="463">
        <f>+M80</f>
        <v>2556000</v>
      </c>
      <c r="P80" s="459">
        <f t="shared" si="8"/>
        <v>1623000</v>
      </c>
      <c r="Q80" s="463" t="s">
        <v>97</v>
      </c>
      <c r="R80" s="463" t="s">
        <v>97</v>
      </c>
      <c r="S80" s="459">
        <f t="shared" si="9"/>
        <v>1623000</v>
      </c>
      <c r="T80" s="460" t="s">
        <v>169</v>
      </c>
    </row>
    <row r="81" spans="1:20" ht="48" customHeight="1" x14ac:dyDescent="0.3">
      <c r="A81" s="453" t="s">
        <v>101</v>
      </c>
      <c r="B81" s="454" t="s">
        <v>102</v>
      </c>
      <c r="C81" s="454" t="s">
        <v>170</v>
      </c>
      <c r="D81" s="465" t="s">
        <v>94</v>
      </c>
      <c r="E81" s="465" t="s">
        <v>161</v>
      </c>
      <c r="F81" s="458"/>
      <c r="G81" s="457">
        <f t="shared" si="6"/>
        <v>32</v>
      </c>
      <c r="H81" s="460" t="s">
        <v>95</v>
      </c>
      <c r="I81" s="461">
        <f>((0.4*0.4)*2.5*4)*2</f>
        <v>3.2000000000000006</v>
      </c>
      <c r="J81" s="461" t="s">
        <v>96</v>
      </c>
      <c r="K81" s="460">
        <f t="shared" si="7"/>
        <v>3.2000000000000006</v>
      </c>
      <c r="L81" s="462">
        <v>0.99199999999999999</v>
      </c>
      <c r="M81" s="463">
        <v>384000</v>
      </c>
      <c r="N81" s="464">
        <v>0.8</v>
      </c>
      <c r="O81" s="463">
        <f>+M81</f>
        <v>384000</v>
      </c>
      <c r="P81" s="459">
        <f t="shared" si="8"/>
        <v>975000</v>
      </c>
      <c r="Q81" s="463" t="s">
        <v>97</v>
      </c>
      <c r="R81" s="463" t="s">
        <v>97</v>
      </c>
      <c r="S81" s="459">
        <f t="shared" si="9"/>
        <v>975000</v>
      </c>
      <c r="T81" s="460" t="s">
        <v>171</v>
      </c>
    </row>
    <row r="82" spans="1:20" ht="48" customHeight="1" x14ac:dyDescent="0.3">
      <c r="A82" s="453" t="s">
        <v>112</v>
      </c>
      <c r="B82" s="454" t="s">
        <v>172</v>
      </c>
      <c r="C82" s="454" t="s">
        <v>173</v>
      </c>
      <c r="D82" s="465" t="s">
        <v>94</v>
      </c>
      <c r="E82" s="465" t="s">
        <v>161</v>
      </c>
      <c r="F82" s="458"/>
      <c r="G82" s="457">
        <f t="shared" si="6"/>
        <v>32</v>
      </c>
      <c r="H82" s="460" t="s">
        <v>95</v>
      </c>
      <c r="I82" s="461">
        <f>3*1.7</f>
        <v>5.0999999999999996</v>
      </c>
      <c r="J82" s="461" t="s">
        <v>96</v>
      </c>
      <c r="K82" s="460">
        <f t="shared" si="7"/>
        <v>5.0999999999999996</v>
      </c>
      <c r="L82" s="462">
        <v>0.99199999999999999</v>
      </c>
      <c r="M82" s="463">
        <v>835000</v>
      </c>
      <c r="N82" s="464">
        <v>0.8</v>
      </c>
      <c r="O82" s="463">
        <f>+M82</f>
        <v>835000</v>
      </c>
      <c r="P82" s="459">
        <f t="shared" si="8"/>
        <v>3380000</v>
      </c>
      <c r="Q82" s="463" t="s">
        <v>97</v>
      </c>
      <c r="R82" s="463" t="s">
        <v>97</v>
      </c>
      <c r="S82" s="459">
        <f t="shared" si="9"/>
        <v>3380000</v>
      </c>
      <c r="T82" s="460" t="s">
        <v>174</v>
      </c>
    </row>
    <row r="83" spans="1:20" ht="46.5" customHeight="1" x14ac:dyDescent="0.3">
      <c r="A83" s="453" t="s">
        <v>115</v>
      </c>
      <c r="B83" s="454" t="s">
        <v>120</v>
      </c>
      <c r="C83" s="454" t="s">
        <v>175</v>
      </c>
      <c r="D83" s="465" t="s">
        <v>94</v>
      </c>
      <c r="E83" s="465" t="s">
        <v>161</v>
      </c>
      <c r="F83" s="458"/>
      <c r="G83" s="457">
        <f t="shared" si="6"/>
        <v>32</v>
      </c>
      <c r="H83" s="460" t="s">
        <v>95</v>
      </c>
      <c r="I83" s="461">
        <f>9.4*1.7</f>
        <v>15.98</v>
      </c>
      <c r="J83" s="461" t="s">
        <v>96</v>
      </c>
      <c r="K83" s="460">
        <f t="shared" si="7"/>
        <v>15.98</v>
      </c>
      <c r="L83" s="462">
        <v>0.99199999999999999</v>
      </c>
      <c r="M83" s="463">
        <v>268000</v>
      </c>
      <c r="N83" s="464">
        <v>0.8</v>
      </c>
      <c r="O83" s="463">
        <f>+M83</f>
        <v>268000</v>
      </c>
      <c r="P83" s="459">
        <f t="shared" si="8"/>
        <v>3399000</v>
      </c>
      <c r="Q83" s="463" t="s">
        <v>97</v>
      </c>
      <c r="R83" s="463" t="s">
        <v>97</v>
      </c>
      <c r="S83" s="459">
        <f t="shared" si="9"/>
        <v>3399000</v>
      </c>
      <c r="T83" s="460" t="s">
        <v>166</v>
      </c>
    </row>
    <row r="84" spans="1:20" ht="39.75" customHeight="1" x14ac:dyDescent="0.3">
      <c r="A84" s="453" t="s">
        <v>119</v>
      </c>
      <c r="B84" s="454" t="s">
        <v>176</v>
      </c>
      <c r="C84" s="454" t="s">
        <v>177</v>
      </c>
      <c r="D84" s="465" t="s">
        <v>178</v>
      </c>
      <c r="E84" s="465" t="s">
        <v>179</v>
      </c>
      <c r="F84" s="458"/>
      <c r="G84" s="457">
        <f t="shared" si="6"/>
        <v>29</v>
      </c>
      <c r="H84" s="460" t="s">
        <v>95</v>
      </c>
      <c r="I84" s="461">
        <v>9</v>
      </c>
      <c r="J84" s="461" t="s">
        <v>96</v>
      </c>
      <c r="K84" s="460">
        <f t="shared" si="7"/>
        <v>9</v>
      </c>
      <c r="L84" s="462">
        <v>0.99199999999999999</v>
      </c>
      <c r="M84" s="463">
        <v>836000</v>
      </c>
      <c r="N84" s="464">
        <v>0.8</v>
      </c>
      <c r="O84" s="463">
        <f>+M84</f>
        <v>836000</v>
      </c>
      <c r="P84" s="459">
        <f t="shared" si="8"/>
        <v>5971000</v>
      </c>
      <c r="Q84" s="463" t="s">
        <v>97</v>
      </c>
      <c r="R84" s="463" t="s">
        <v>97</v>
      </c>
      <c r="S84" s="459">
        <f t="shared" si="9"/>
        <v>5971000</v>
      </c>
      <c r="T84" s="460" t="s">
        <v>180</v>
      </c>
    </row>
    <row r="85" spans="1:20" ht="18.75" customHeight="1" x14ac:dyDescent="0.3">
      <c r="A85" s="453" t="s">
        <v>142</v>
      </c>
      <c r="B85" s="915" t="s">
        <v>181</v>
      </c>
      <c r="C85" s="916"/>
      <c r="D85" s="465"/>
      <c r="E85" s="457"/>
      <c r="F85" s="458"/>
      <c r="G85" s="457"/>
      <c r="H85" s="460"/>
      <c r="I85" s="461"/>
      <c r="J85" s="461"/>
      <c r="K85" s="460"/>
      <c r="L85" s="462"/>
      <c r="M85" s="463"/>
      <c r="N85" s="464"/>
      <c r="O85" s="463"/>
      <c r="P85" s="459"/>
      <c r="Q85" s="463"/>
      <c r="R85" s="463"/>
      <c r="S85" s="459"/>
      <c r="T85" s="460"/>
    </row>
    <row r="86" spans="1:20" ht="105" customHeight="1" x14ac:dyDescent="0.3">
      <c r="A86" s="453" t="s">
        <v>19</v>
      </c>
      <c r="B86" s="454" t="s">
        <v>113</v>
      </c>
      <c r="C86" s="454" t="s">
        <v>182</v>
      </c>
      <c r="D86" s="465" t="s">
        <v>94</v>
      </c>
      <c r="E86" s="465" t="s">
        <v>183</v>
      </c>
      <c r="F86" s="458"/>
      <c r="G86" s="457">
        <f t="shared" ref="G86:G92" si="10">2026-2014</f>
        <v>12</v>
      </c>
      <c r="H86" s="460" t="s">
        <v>95</v>
      </c>
      <c r="I86" s="461">
        <f>9*((1.9+3.7)/2)</f>
        <v>25.2</v>
      </c>
      <c r="J86" s="461" t="s">
        <v>96</v>
      </c>
      <c r="K86" s="460">
        <f t="shared" ref="K86:K95" si="11">+I86-J86</f>
        <v>25.2</v>
      </c>
      <c r="L86" s="462">
        <v>0.99199999999999999</v>
      </c>
      <c r="M86" s="463">
        <v>418000</v>
      </c>
      <c r="N86" s="464">
        <v>0.6</v>
      </c>
      <c r="O86" s="463">
        <f>+M86</f>
        <v>418000</v>
      </c>
      <c r="P86" s="459">
        <f t="shared" ref="P86:P95" si="12">+ROUND((K86*L86*O86*N86),-3)</f>
        <v>6270000</v>
      </c>
      <c r="Q86" s="463" t="s">
        <v>97</v>
      </c>
      <c r="R86" s="463" t="s">
        <v>97</v>
      </c>
      <c r="S86" s="459">
        <f>P86</f>
        <v>6270000</v>
      </c>
      <c r="T86" s="460" t="s">
        <v>907</v>
      </c>
    </row>
    <row r="87" spans="1:20" ht="105" customHeight="1" x14ac:dyDescent="0.3">
      <c r="A87" s="453" t="s">
        <v>98</v>
      </c>
      <c r="B87" s="454" t="s">
        <v>120</v>
      </c>
      <c r="C87" s="454" t="s">
        <v>184</v>
      </c>
      <c r="D87" s="465" t="s">
        <v>94</v>
      </c>
      <c r="E87" s="465" t="s">
        <v>183</v>
      </c>
      <c r="F87" s="458"/>
      <c r="G87" s="457">
        <f t="shared" si="10"/>
        <v>12</v>
      </c>
      <c r="H87" s="460" t="s">
        <v>95</v>
      </c>
      <c r="I87" s="461">
        <f>8.7*5.9</f>
        <v>51.33</v>
      </c>
      <c r="J87" s="461" t="s">
        <v>96</v>
      </c>
      <c r="K87" s="460">
        <f t="shared" si="11"/>
        <v>51.33</v>
      </c>
      <c r="L87" s="462">
        <v>0.99199999999999999</v>
      </c>
      <c r="M87" s="463">
        <v>268000</v>
      </c>
      <c r="N87" s="464">
        <v>0.6</v>
      </c>
      <c r="O87" s="463">
        <f>+M87</f>
        <v>268000</v>
      </c>
      <c r="P87" s="459">
        <f t="shared" si="12"/>
        <v>8188000</v>
      </c>
      <c r="Q87" s="463" t="s">
        <v>97</v>
      </c>
      <c r="R87" s="463" t="s">
        <v>97</v>
      </c>
      <c r="S87" s="459">
        <f>P87</f>
        <v>8188000</v>
      </c>
      <c r="T87" s="460" t="s">
        <v>166</v>
      </c>
    </row>
    <row r="88" spans="1:20" ht="105" customHeight="1" x14ac:dyDescent="0.3">
      <c r="A88" s="453" t="s">
        <v>104</v>
      </c>
      <c r="B88" s="454" t="s">
        <v>120</v>
      </c>
      <c r="C88" s="454" t="s">
        <v>185</v>
      </c>
      <c r="D88" s="465" t="s">
        <v>94</v>
      </c>
      <c r="E88" s="465" t="s">
        <v>183</v>
      </c>
      <c r="F88" s="458"/>
      <c r="G88" s="457">
        <f t="shared" si="10"/>
        <v>12</v>
      </c>
      <c r="H88" s="460" t="s">
        <v>95</v>
      </c>
      <c r="I88" s="461">
        <f>8.7*2</f>
        <v>17.399999999999999</v>
      </c>
      <c r="J88" s="461" t="s">
        <v>96</v>
      </c>
      <c r="K88" s="460">
        <f t="shared" si="11"/>
        <v>17.399999999999999</v>
      </c>
      <c r="L88" s="462">
        <v>0.99199999999999999</v>
      </c>
      <c r="M88" s="463">
        <v>268000</v>
      </c>
      <c r="N88" s="464">
        <v>0.6</v>
      </c>
      <c r="O88" s="463">
        <f>+M88</f>
        <v>268000</v>
      </c>
      <c r="P88" s="459">
        <f t="shared" si="12"/>
        <v>2776000</v>
      </c>
      <c r="Q88" s="463" t="s">
        <v>97</v>
      </c>
      <c r="R88" s="463" t="s">
        <v>97</v>
      </c>
      <c r="S88" s="459">
        <f>P88</f>
        <v>2776000</v>
      </c>
      <c r="T88" s="460" t="s">
        <v>908</v>
      </c>
    </row>
    <row r="89" spans="1:20" ht="105" customHeight="1" x14ac:dyDescent="0.3">
      <c r="A89" s="453" t="s">
        <v>107</v>
      </c>
      <c r="B89" s="454" t="s">
        <v>93</v>
      </c>
      <c r="C89" s="454" t="s">
        <v>1010</v>
      </c>
      <c r="D89" s="465" t="s">
        <v>94</v>
      </c>
      <c r="E89" s="465" t="s">
        <v>183</v>
      </c>
      <c r="F89" s="458"/>
      <c r="G89" s="457">
        <f t="shared" si="10"/>
        <v>12</v>
      </c>
      <c r="H89" s="460" t="s">
        <v>95</v>
      </c>
      <c r="I89" s="461">
        <f>2.1*10.5</f>
        <v>22.05</v>
      </c>
      <c r="J89" s="461" t="s">
        <v>96</v>
      </c>
      <c r="K89" s="460">
        <f t="shared" si="11"/>
        <v>22.05</v>
      </c>
      <c r="L89" s="462">
        <v>0.99199999999999999</v>
      </c>
      <c r="M89" s="463">
        <v>1487000</v>
      </c>
      <c r="N89" s="464">
        <v>0.6</v>
      </c>
      <c r="O89" s="463">
        <f>+ROUND((M89*90%),-3)</f>
        <v>1338000</v>
      </c>
      <c r="P89" s="459">
        <f t="shared" si="12"/>
        <v>17560000</v>
      </c>
      <c r="Q89" s="463" t="s">
        <v>97</v>
      </c>
      <c r="R89" s="463" t="s">
        <v>97</v>
      </c>
      <c r="S89" s="459">
        <f>P89</f>
        <v>17560000</v>
      </c>
      <c r="T89" s="460" t="s">
        <v>1009</v>
      </c>
    </row>
    <row r="90" spans="1:20" ht="105" customHeight="1" x14ac:dyDescent="0.3">
      <c r="A90" s="497" t="s">
        <v>101</v>
      </c>
      <c r="B90" s="454" t="s">
        <v>102</v>
      </c>
      <c r="C90" s="454" t="s">
        <v>1011</v>
      </c>
      <c r="D90" s="465" t="s">
        <v>217</v>
      </c>
      <c r="E90" s="465" t="s">
        <v>183</v>
      </c>
      <c r="F90" s="458"/>
      <c r="G90" s="457">
        <f t="shared" si="10"/>
        <v>12</v>
      </c>
      <c r="H90" s="460" t="s">
        <v>95</v>
      </c>
      <c r="I90" s="461">
        <f>0.3*0.3*10.5</f>
        <v>0.94499999999999995</v>
      </c>
      <c r="J90" s="461" t="s">
        <v>96</v>
      </c>
      <c r="K90" s="460">
        <f t="shared" si="11"/>
        <v>0.94499999999999995</v>
      </c>
      <c r="L90" s="462">
        <v>0.99199999999999999</v>
      </c>
      <c r="M90" s="463">
        <v>1961000</v>
      </c>
      <c r="N90" s="464">
        <v>0.6</v>
      </c>
      <c r="O90" s="463">
        <f>M90</f>
        <v>1961000</v>
      </c>
      <c r="P90" s="459">
        <f t="shared" si="12"/>
        <v>1103000</v>
      </c>
      <c r="Q90" s="463" t="s">
        <v>97</v>
      </c>
      <c r="R90" s="463" t="s">
        <v>97</v>
      </c>
      <c r="S90" s="459">
        <f>P90</f>
        <v>1103000</v>
      </c>
      <c r="T90" s="460" t="s">
        <v>1012</v>
      </c>
    </row>
    <row r="91" spans="1:20" s="755" customFormat="1" ht="105" customHeight="1" x14ac:dyDescent="0.3">
      <c r="A91" s="744" t="s">
        <v>110</v>
      </c>
      <c r="B91" s="745" t="s">
        <v>99</v>
      </c>
      <c r="C91" s="745" t="s">
        <v>186</v>
      </c>
      <c r="D91" s="746" t="s">
        <v>100</v>
      </c>
      <c r="E91" s="746" t="s">
        <v>183</v>
      </c>
      <c r="F91" s="747"/>
      <c r="G91" s="748">
        <f t="shared" si="10"/>
        <v>12</v>
      </c>
      <c r="H91" s="749" t="s">
        <v>95</v>
      </c>
      <c r="I91" s="750">
        <f>((0.4*0.4)*2.5)*2</f>
        <v>0.80000000000000016</v>
      </c>
      <c r="J91" s="750" t="s">
        <v>96</v>
      </c>
      <c r="K91" s="749">
        <f t="shared" si="11"/>
        <v>0.80000000000000016</v>
      </c>
      <c r="L91" s="751">
        <v>0.99199999999999999</v>
      </c>
      <c r="M91" s="752">
        <v>2556000</v>
      </c>
      <c r="N91" s="753">
        <v>0.6</v>
      </c>
      <c r="O91" s="752">
        <f>+M91</f>
        <v>2556000</v>
      </c>
      <c r="P91" s="754">
        <f t="shared" si="12"/>
        <v>1217000</v>
      </c>
      <c r="Q91" s="752" t="s">
        <v>97</v>
      </c>
      <c r="R91" s="752" t="s">
        <v>97</v>
      </c>
      <c r="S91" s="754">
        <f>P91+S92</f>
        <v>3045000</v>
      </c>
      <c r="T91" s="749" t="s">
        <v>994</v>
      </c>
    </row>
    <row r="92" spans="1:20" ht="105" customHeight="1" x14ac:dyDescent="0.3">
      <c r="A92" s="453" t="s">
        <v>101</v>
      </c>
      <c r="B92" s="454" t="s">
        <v>102</v>
      </c>
      <c r="C92" s="454" t="s">
        <v>187</v>
      </c>
      <c r="D92" s="465" t="s">
        <v>94</v>
      </c>
      <c r="E92" s="465" t="s">
        <v>183</v>
      </c>
      <c r="F92" s="458"/>
      <c r="G92" s="457">
        <f t="shared" si="10"/>
        <v>12</v>
      </c>
      <c r="H92" s="460" t="s">
        <v>95</v>
      </c>
      <c r="I92" s="461">
        <f>((0.4*2.5)*4*2)</f>
        <v>8</v>
      </c>
      <c r="J92" s="461" t="s">
        <v>96</v>
      </c>
      <c r="K92" s="460">
        <f t="shared" si="11"/>
        <v>8</v>
      </c>
      <c r="L92" s="462">
        <v>0.99199999999999999</v>
      </c>
      <c r="M92" s="463">
        <v>384000</v>
      </c>
      <c r="N92" s="464">
        <v>0.6</v>
      </c>
      <c r="O92" s="463">
        <f>+M92</f>
        <v>384000</v>
      </c>
      <c r="P92" s="459">
        <f t="shared" si="12"/>
        <v>1828000</v>
      </c>
      <c r="Q92" s="463" t="s">
        <v>97</v>
      </c>
      <c r="R92" s="463" t="s">
        <v>97</v>
      </c>
      <c r="S92" s="459">
        <f>P92</f>
        <v>1828000</v>
      </c>
      <c r="T92" s="460" t="s">
        <v>909</v>
      </c>
    </row>
    <row r="93" spans="1:20" ht="105" customHeight="1" x14ac:dyDescent="0.3">
      <c r="A93" s="453" t="s">
        <v>112</v>
      </c>
      <c r="B93" s="454" t="s">
        <v>188</v>
      </c>
      <c r="C93" s="454" t="s">
        <v>189</v>
      </c>
      <c r="D93" s="465" t="s">
        <v>190</v>
      </c>
      <c r="E93" s="465" t="s">
        <v>161</v>
      </c>
      <c r="F93" s="458"/>
      <c r="G93" s="457">
        <f>2026-E93</f>
        <v>32</v>
      </c>
      <c r="H93" s="460" t="s">
        <v>95</v>
      </c>
      <c r="I93" s="461">
        <v>25</v>
      </c>
      <c r="J93" s="461" t="s">
        <v>96</v>
      </c>
      <c r="K93" s="460">
        <f t="shared" si="11"/>
        <v>25</v>
      </c>
      <c r="L93" s="462">
        <v>0.99199999999999999</v>
      </c>
      <c r="M93" s="463">
        <v>1394000</v>
      </c>
      <c r="N93" s="464">
        <v>0.8</v>
      </c>
      <c r="O93" s="463">
        <f>+M93</f>
        <v>1394000</v>
      </c>
      <c r="P93" s="459">
        <f t="shared" si="12"/>
        <v>27657000</v>
      </c>
      <c r="Q93" s="463" t="s">
        <v>97</v>
      </c>
      <c r="R93" s="463" t="s">
        <v>97</v>
      </c>
      <c r="S93" s="459">
        <f>P93</f>
        <v>27657000</v>
      </c>
      <c r="T93" s="460" t="s">
        <v>1013</v>
      </c>
    </row>
    <row r="94" spans="1:20" ht="105" customHeight="1" x14ac:dyDescent="0.3">
      <c r="A94" s="453" t="s">
        <v>115</v>
      </c>
      <c r="B94" s="454" t="s">
        <v>176</v>
      </c>
      <c r="C94" s="454" t="s">
        <v>177</v>
      </c>
      <c r="D94" s="465" t="s">
        <v>178</v>
      </c>
      <c r="E94" s="465" t="s">
        <v>183</v>
      </c>
      <c r="F94" s="458"/>
      <c r="G94" s="457">
        <f>2026-2014</f>
        <v>12</v>
      </c>
      <c r="H94" s="460" t="s">
        <v>95</v>
      </c>
      <c r="I94" s="461">
        <v>9</v>
      </c>
      <c r="J94" s="461" t="s">
        <v>96</v>
      </c>
      <c r="K94" s="460">
        <f t="shared" si="11"/>
        <v>9</v>
      </c>
      <c r="L94" s="462">
        <v>0.99199999999999999</v>
      </c>
      <c r="M94" s="463">
        <v>836000</v>
      </c>
      <c r="N94" s="464">
        <v>0.6</v>
      </c>
      <c r="O94" s="463">
        <f>+M94</f>
        <v>836000</v>
      </c>
      <c r="P94" s="459">
        <f t="shared" si="12"/>
        <v>4478000</v>
      </c>
      <c r="Q94" s="463" t="s">
        <v>97</v>
      </c>
      <c r="R94" s="463" t="s">
        <v>97</v>
      </c>
      <c r="S94" s="459">
        <f>P94</f>
        <v>4478000</v>
      </c>
      <c r="T94" s="460" t="s">
        <v>910</v>
      </c>
    </row>
    <row r="95" spans="1:20" ht="105" customHeight="1" x14ac:dyDescent="0.3">
      <c r="A95" s="453" t="s">
        <v>119</v>
      </c>
      <c r="B95" s="454" t="s">
        <v>191</v>
      </c>
      <c r="C95" s="454" t="s">
        <v>192</v>
      </c>
      <c r="D95" s="465" t="s">
        <v>94</v>
      </c>
      <c r="E95" s="465" t="s">
        <v>183</v>
      </c>
      <c r="F95" s="458"/>
      <c r="G95" s="457">
        <f>2026-2014</f>
        <v>12</v>
      </c>
      <c r="H95" s="460" t="s">
        <v>95</v>
      </c>
      <c r="I95" s="461">
        <f>3.4*2.5</f>
        <v>8.5</v>
      </c>
      <c r="J95" s="461" t="s">
        <v>96</v>
      </c>
      <c r="K95" s="460">
        <f t="shared" si="11"/>
        <v>8.5</v>
      </c>
      <c r="L95" s="462">
        <v>0.99199999999999999</v>
      </c>
      <c r="M95" s="463">
        <v>835000</v>
      </c>
      <c r="N95" s="464">
        <v>0.6</v>
      </c>
      <c r="O95" s="463">
        <f>+M95</f>
        <v>835000</v>
      </c>
      <c r="P95" s="459">
        <f t="shared" si="12"/>
        <v>4224000</v>
      </c>
      <c r="Q95" s="463" t="s">
        <v>97</v>
      </c>
      <c r="R95" s="463" t="s">
        <v>97</v>
      </c>
      <c r="S95" s="459">
        <f>P95</f>
        <v>4224000</v>
      </c>
      <c r="T95" s="460" t="s">
        <v>911</v>
      </c>
    </row>
    <row r="96" spans="1:20" s="19" customFormat="1" ht="48.75" customHeight="1" x14ac:dyDescent="0.3">
      <c r="A96" s="313"/>
      <c r="B96" s="166" t="s">
        <v>55</v>
      </c>
      <c r="C96" s="166"/>
      <c r="D96" s="159"/>
      <c r="E96" s="159"/>
      <c r="F96" s="167"/>
      <c r="G96" s="167"/>
      <c r="H96" s="167"/>
      <c r="I96" s="168"/>
      <c r="J96" s="167"/>
      <c r="K96" s="167"/>
      <c r="L96" s="167"/>
      <c r="M96" s="167"/>
      <c r="N96" s="167"/>
      <c r="O96" s="167"/>
      <c r="P96" s="167"/>
      <c r="Q96" s="167"/>
      <c r="R96" s="167"/>
      <c r="S96" s="45">
        <f>SUM(S74:S95)</f>
        <v>127670000</v>
      </c>
      <c r="T96" s="167"/>
    </row>
    <row r="97" spans="1:20" s="19" customFormat="1" ht="30" customHeight="1" x14ac:dyDescent="0.3">
      <c r="A97" s="171" t="s">
        <v>131</v>
      </c>
      <c r="B97" s="172" t="s">
        <v>132</v>
      </c>
      <c r="C97" s="173"/>
      <c r="D97" s="466"/>
      <c r="E97" s="466"/>
      <c r="F97" s="466"/>
      <c r="G97" s="466"/>
      <c r="H97" s="466"/>
      <c r="I97" s="467"/>
      <c r="J97" s="466"/>
      <c r="K97" s="468"/>
      <c r="L97" s="468"/>
      <c r="M97" s="466"/>
      <c r="N97" s="468"/>
      <c r="O97" s="466"/>
      <c r="P97" s="469"/>
      <c r="Q97" s="466"/>
      <c r="R97" s="466"/>
      <c r="S97" s="470"/>
      <c r="T97" s="466"/>
    </row>
    <row r="98" spans="1:20" s="19" customFormat="1" ht="30" customHeight="1" x14ac:dyDescent="0.3">
      <c r="A98" s="171" t="s">
        <v>133</v>
      </c>
      <c r="B98" s="172" t="s">
        <v>134</v>
      </c>
      <c r="C98" s="172"/>
      <c r="D98" s="172"/>
      <c r="E98" s="172"/>
      <c r="F98" s="172"/>
      <c r="G98" s="172"/>
      <c r="H98" s="172"/>
      <c r="I98" s="312"/>
      <c r="J98" s="172"/>
      <c r="K98" s="172"/>
      <c r="L98" s="172"/>
      <c r="M98" s="172"/>
      <c r="N98" s="172"/>
      <c r="O98" s="172"/>
      <c r="P98" s="172"/>
      <c r="Q98" s="172"/>
      <c r="R98" s="172"/>
      <c r="S98" s="172"/>
      <c r="T98" s="172"/>
    </row>
    <row r="99" spans="1:20" s="19" customFormat="1" ht="30" customHeight="1" x14ac:dyDescent="0.3">
      <c r="A99" s="178" t="s">
        <v>135</v>
      </c>
      <c r="B99" s="756" t="s">
        <v>193</v>
      </c>
      <c r="C99" s="757"/>
      <c r="D99" s="757"/>
      <c r="E99" s="757"/>
      <c r="F99" s="757"/>
      <c r="G99" s="757"/>
      <c r="H99" s="757"/>
      <c r="I99" s="757"/>
      <c r="J99" s="757"/>
      <c r="K99" s="757"/>
      <c r="L99" s="757"/>
      <c r="M99" s="757"/>
      <c r="N99" s="757"/>
      <c r="O99" s="757"/>
      <c r="P99" s="757"/>
      <c r="Q99" s="757"/>
      <c r="R99" s="758"/>
      <c r="S99" s="29">
        <f>S56+S96</f>
        <v>129344000</v>
      </c>
      <c r="T99" s="174" t="s">
        <v>137</v>
      </c>
    </row>
    <row r="100" spans="1:20" ht="30" customHeight="1" x14ac:dyDescent="0.3">
      <c r="A100" s="474"/>
      <c r="B100" s="888" t="s">
        <v>194</v>
      </c>
      <c r="C100" s="773"/>
      <c r="D100" s="773"/>
      <c r="E100" s="773"/>
      <c r="F100" s="773"/>
      <c r="G100" s="773"/>
      <c r="H100" s="773"/>
      <c r="I100" s="773"/>
      <c r="J100" s="773"/>
      <c r="K100" s="773"/>
      <c r="L100" s="773"/>
      <c r="M100" s="773"/>
      <c r="N100" s="773"/>
      <c r="O100" s="773"/>
      <c r="P100" s="773"/>
      <c r="Q100" s="773"/>
      <c r="R100" s="773"/>
      <c r="S100" s="773"/>
      <c r="T100" s="474"/>
    </row>
    <row r="101" spans="1:20" ht="18.75" customHeight="1" x14ac:dyDescent="0.3">
      <c r="A101" s="474"/>
      <c r="B101" s="772" t="s">
        <v>1</v>
      </c>
      <c r="C101" s="773"/>
      <c r="D101" s="773"/>
      <c r="E101" s="773"/>
      <c r="F101" s="773"/>
      <c r="G101" s="773"/>
      <c r="H101" s="773"/>
      <c r="I101" s="773"/>
      <c r="J101" s="773"/>
      <c r="K101" s="773"/>
      <c r="L101" s="773"/>
      <c r="M101" s="773"/>
      <c r="N101" s="773"/>
      <c r="O101" s="773"/>
      <c r="P101" s="773"/>
      <c r="Q101" s="773"/>
      <c r="R101" s="773"/>
      <c r="S101" s="773"/>
      <c r="T101" s="474"/>
    </row>
    <row r="102" spans="1:20" ht="18.75" customHeight="1" x14ac:dyDescent="0.3">
      <c r="A102" s="474"/>
      <c r="B102" s="772" t="s">
        <v>2</v>
      </c>
      <c r="C102" s="773"/>
      <c r="D102" s="773"/>
      <c r="E102" s="773"/>
      <c r="F102" s="773"/>
      <c r="G102" s="773"/>
      <c r="H102" s="773"/>
      <c r="I102" s="773"/>
      <c r="J102" s="773"/>
      <c r="K102" s="773"/>
      <c r="L102" s="773"/>
      <c r="M102" s="773"/>
      <c r="N102" s="773"/>
      <c r="O102" s="773"/>
      <c r="P102" s="773"/>
      <c r="Q102" s="773"/>
      <c r="R102" s="773"/>
      <c r="S102" s="773"/>
      <c r="T102" s="474"/>
    </row>
    <row r="103" spans="1:20" ht="18.75" customHeight="1" x14ac:dyDescent="0.3">
      <c r="A103" s="475"/>
      <c r="B103" s="809" t="str">
        <f>B45</f>
        <v>(Kèm theo Quyết định số     /QĐ-UBND ngày     tháng     năm 2026 của Ủy ban nhân dân xã Thuận An)</v>
      </c>
      <c r="C103" s="773"/>
      <c r="D103" s="773"/>
      <c r="E103" s="773"/>
      <c r="F103" s="773"/>
      <c r="G103" s="773"/>
      <c r="H103" s="773"/>
      <c r="I103" s="773"/>
      <c r="J103" s="773"/>
      <c r="K103" s="773"/>
      <c r="L103" s="773"/>
      <c r="M103" s="773"/>
      <c r="N103" s="773"/>
      <c r="O103" s="773"/>
      <c r="P103" s="773"/>
      <c r="Q103" s="773"/>
      <c r="R103" s="773"/>
      <c r="S103" s="773"/>
      <c r="T103" s="475"/>
    </row>
    <row r="104" spans="1:20" s="19" customFormat="1" ht="18.75" customHeight="1" x14ac:dyDescent="0.3">
      <c r="A104" s="272" t="s">
        <v>3</v>
      </c>
      <c r="B104" s="273" t="s">
        <v>4</v>
      </c>
      <c r="C104" s="233"/>
      <c r="D104" s="233"/>
      <c r="E104" s="233"/>
      <c r="F104" s="233"/>
      <c r="G104" s="233"/>
      <c r="H104" s="233"/>
      <c r="I104" s="234"/>
      <c r="J104" s="233"/>
      <c r="K104" s="235"/>
      <c r="L104" s="235"/>
      <c r="M104" s="233"/>
      <c r="N104" s="235"/>
      <c r="O104" s="233"/>
      <c r="P104" s="236"/>
      <c r="Q104" s="233"/>
      <c r="R104" s="233"/>
      <c r="S104" s="237"/>
      <c r="T104" s="233"/>
    </row>
    <row r="105" spans="1:20" s="19" customFormat="1" ht="50.25" customHeight="1" x14ac:dyDescent="0.3">
      <c r="A105" s="776" t="s">
        <v>5</v>
      </c>
      <c r="B105" s="778" t="s">
        <v>6</v>
      </c>
      <c r="C105" s="778" t="s">
        <v>7</v>
      </c>
      <c r="D105" s="778" t="s">
        <v>959</v>
      </c>
      <c r="E105" s="777"/>
      <c r="F105" s="777"/>
      <c r="G105" s="778" t="s">
        <v>960</v>
      </c>
      <c r="H105" s="777"/>
      <c r="I105" s="777"/>
      <c r="J105" s="778" t="s">
        <v>961</v>
      </c>
      <c r="K105" s="777"/>
      <c r="L105" s="777"/>
      <c r="M105" s="779" t="s">
        <v>8</v>
      </c>
      <c r="N105" s="779" t="s">
        <v>9</v>
      </c>
      <c r="O105" s="779" t="s">
        <v>10</v>
      </c>
      <c r="P105" s="780" t="s">
        <v>11</v>
      </c>
      <c r="Q105" s="780" t="s">
        <v>12</v>
      </c>
      <c r="R105" s="780" t="s">
        <v>13</v>
      </c>
      <c r="S105" s="778" t="s">
        <v>14</v>
      </c>
      <c r="T105" s="778" t="s">
        <v>15</v>
      </c>
    </row>
    <row r="106" spans="1:20" s="19" customFormat="1" ht="57" customHeight="1" x14ac:dyDescent="0.3">
      <c r="A106" s="777"/>
      <c r="B106" s="777"/>
      <c r="C106" s="777"/>
      <c r="D106" s="778" t="s">
        <v>16</v>
      </c>
      <c r="E106" s="778" t="s">
        <v>17</v>
      </c>
      <c r="F106" s="777"/>
      <c r="G106" s="778" t="s">
        <v>16</v>
      </c>
      <c r="H106" s="778" t="s">
        <v>17</v>
      </c>
      <c r="I106" s="777"/>
      <c r="J106" s="776" t="s">
        <v>18</v>
      </c>
      <c r="K106" s="778" t="s">
        <v>17</v>
      </c>
      <c r="L106" s="777"/>
      <c r="M106" s="777"/>
      <c r="N106" s="777"/>
      <c r="O106" s="777"/>
      <c r="P106" s="777"/>
      <c r="Q106" s="777"/>
      <c r="R106" s="777"/>
      <c r="S106" s="777"/>
      <c r="T106" s="777"/>
    </row>
    <row r="107" spans="1:20" s="19" customFormat="1" ht="69.75" customHeight="1" x14ac:dyDescent="0.3">
      <c r="A107" s="777"/>
      <c r="B107" s="777"/>
      <c r="C107" s="777"/>
      <c r="D107" s="777"/>
      <c r="E107" s="415" t="s">
        <v>962</v>
      </c>
      <c r="F107" s="415" t="s">
        <v>963</v>
      </c>
      <c r="G107" s="777"/>
      <c r="H107" s="415" t="s">
        <v>962</v>
      </c>
      <c r="I107" s="189" t="s">
        <v>963</v>
      </c>
      <c r="J107" s="777"/>
      <c r="K107" s="415" t="s">
        <v>962</v>
      </c>
      <c r="L107" s="415" t="s">
        <v>963</v>
      </c>
      <c r="M107" s="777"/>
      <c r="N107" s="777"/>
      <c r="O107" s="777"/>
      <c r="P107" s="777"/>
      <c r="Q107" s="777"/>
      <c r="R107" s="777"/>
      <c r="S107" s="777"/>
      <c r="T107" s="777"/>
    </row>
    <row r="108" spans="1:20" s="19" customFormat="1" ht="120" customHeight="1" x14ac:dyDescent="0.3">
      <c r="A108" s="298" t="s">
        <v>104</v>
      </c>
      <c r="B108" s="190" t="s">
        <v>195</v>
      </c>
      <c r="C108" s="424" t="s">
        <v>196</v>
      </c>
      <c r="D108" s="191">
        <f>E108+F108</f>
        <v>16147</v>
      </c>
      <c r="E108" s="191">
        <v>500</v>
      </c>
      <c r="F108" s="191">
        <v>15647</v>
      </c>
      <c r="G108" s="191">
        <f>505+1255</f>
        <v>1760</v>
      </c>
      <c r="H108" s="191">
        <v>500</v>
      </c>
      <c r="I108" s="192">
        <f>G108-H108</f>
        <v>1260</v>
      </c>
      <c r="J108" s="191">
        <f>59.5+135.3</f>
        <v>194.8</v>
      </c>
      <c r="K108" s="191">
        <v>0</v>
      </c>
      <c r="L108" s="191">
        <f>+J108-K108</f>
        <v>194.8</v>
      </c>
      <c r="M108" s="193">
        <v>0</v>
      </c>
      <c r="N108" s="314">
        <f>(L108/F108)*100%</f>
        <v>1.2449670863424299E-2</v>
      </c>
      <c r="O108" s="248" t="s">
        <v>21</v>
      </c>
      <c r="P108" s="195" t="s">
        <v>197</v>
      </c>
      <c r="Q108" s="195" t="s">
        <v>23</v>
      </c>
      <c r="R108" s="248" t="s">
        <v>24</v>
      </c>
      <c r="S108" s="248" t="s">
        <v>25</v>
      </c>
      <c r="T108" s="248" t="s">
        <v>1014</v>
      </c>
    </row>
    <row r="109" spans="1:20" s="19" customFormat="1" ht="19.5" x14ac:dyDescent="0.3">
      <c r="A109" s="272" t="s">
        <v>27</v>
      </c>
      <c r="B109" s="273" t="s">
        <v>777</v>
      </c>
      <c r="C109" s="233"/>
      <c r="D109" s="233"/>
      <c r="E109" s="233"/>
      <c r="F109" s="233"/>
      <c r="G109" s="233"/>
      <c r="H109" s="233"/>
      <c r="I109" s="234"/>
      <c r="J109" s="233"/>
      <c r="K109" s="235"/>
      <c r="L109" s="235"/>
      <c r="M109" s="233"/>
      <c r="N109" s="235"/>
      <c r="O109" s="233"/>
      <c r="P109" s="236"/>
      <c r="Q109" s="233"/>
      <c r="R109" s="233"/>
      <c r="S109" s="233"/>
      <c r="T109" s="233"/>
    </row>
    <row r="110" spans="1:20" s="19" customFormat="1" ht="53.25" customHeight="1" x14ac:dyDescent="0.3">
      <c r="A110" s="781" t="s">
        <v>5</v>
      </c>
      <c r="B110" s="783" t="s">
        <v>663</v>
      </c>
      <c r="C110" s="783" t="s">
        <v>664</v>
      </c>
      <c r="D110" s="761" t="s">
        <v>665</v>
      </c>
      <c r="E110" s="761"/>
      <c r="F110" s="761"/>
      <c r="G110" s="761"/>
      <c r="H110" s="761" t="s">
        <v>666</v>
      </c>
      <c r="I110" s="760" t="s">
        <v>667</v>
      </c>
      <c r="J110" s="760"/>
      <c r="K110" s="760"/>
      <c r="L110" s="762" t="s">
        <v>668</v>
      </c>
      <c r="M110" s="762"/>
      <c r="N110" s="794" t="s">
        <v>43</v>
      </c>
      <c r="O110" s="783" t="s">
        <v>669</v>
      </c>
      <c r="P110" s="796" t="s">
        <v>670</v>
      </c>
      <c r="Q110" s="796" t="s">
        <v>42</v>
      </c>
      <c r="R110" s="783" t="s">
        <v>671</v>
      </c>
      <c r="S110" s="783" t="s">
        <v>44</v>
      </c>
      <c r="T110" s="798" t="s">
        <v>15</v>
      </c>
    </row>
    <row r="111" spans="1:20" s="19" customFormat="1" ht="83.25" customHeight="1" x14ac:dyDescent="0.3">
      <c r="A111" s="782"/>
      <c r="B111" s="784"/>
      <c r="C111" s="784"/>
      <c r="D111" s="407" t="s">
        <v>672</v>
      </c>
      <c r="E111" s="407" t="s">
        <v>673</v>
      </c>
      <c r="F111" s="407" t="s">
        <v>759</v>
      </c>
      <c r="G111" s="407" t="s">
        <v>17</v>
      </c>
      <c r="H111" s="761"/>
      <c r="I111" s="420" t="s">
        <v>674</v>
      </c>
      <c r="J111" s="418" t="s">
        <v>675</v>
      </c>
      <c r="K111" s="419" t="s">
        <v>676</v>
      </c>
      <c r="L111" s="419" t="s">
        <v>677</v>
      </c>
      <c r="M111" s="134" t="s">
        <v>678</v>
      </c>
      <c r="N111" s="795"/>
      <c r="O111" s="784"/>
      <c r="P111" s="797"/>
      <c r="Q111" s="797"/>
      <c r="R111" s="784"/>
      <c r="S111" s="784"/>
      <c r="T111" s="799"/>
    </row>
    <row r="112" spans="1:20" s="19" customFormat="1" ht="134.25" customHeight="1" x14ac:dyDescent="0.3">
      <c r="A112" s="226" t="s">
        <v>19</v>
      </c>
      <c r="B112" s="227" t="s">
        <v>764</v>
      </c>
      <c r="C112" s="228" t="s">
        <v>765</v>
      </c>
      <c r="D112" s="418" t="s">
        <v>110</v>
      </c>
      <c r="E112" s="418" t="s">
        <v>757</v>
      </c>
      <c r="F112" s="419">
        <v>59.5</v>
      </c>
      <c r="G112" s="420" t="s">
        <v>766</v>
      </c>
      <c r="H112" s="420" t="s">
        <v>767</v>
      </c>
      <c r="I112" s="420">
        <v>59.5</v>
      </c>
      <c r="J112" s="419">
        <v>0</v>
      </c>
      <c r="K112" s="419">
        <f>I112+J112</f>
        <v>59.5</v>
      </c>
      <c r="L112" s="419">
        <v>0</v>
      </c>
      <c r="M112" s="134"/>
      <c r="N112" s="230">
        <v>1</v>
      </c>
      <c r="O112" s="423">
        <v>1</v>
      </c>
      <c r="P112" s="231">
        <v>3966000</v>
      </c>
      <c r="Q112" s="231">
        <f>+ROUND((P112*N112*K112),-3)</f>
        <v>235977000</v>
      </c>
      <c r="R112" s="231">
        <f>-ROUND((38000*J112*0.5%),-3)</f>
        <v>0</v>
      </c>
      <c r="S112" s="408">
        <f>+Q112+R112</f>
        <v>235977000</v>
      </c>
      <c r="T112" s="830" t="s">
        <v>833</v>
      </c>
    </row>
    <row r="113" spans="1:20" s="19" customFormat="1" ht="134.25" customHeight="1" x14ac:dyDescent="0.3">
      <c r="A113" s="226" t="s">
        <v>98</v>
      </c>
      <c r="B113" s="227" t="s">
        <v>764</v>
      </c>
      <c r="C113" s="228" t="s">
        <v>768</v>
      </c>
      <c r="D113" s="418" t="s">
        <v>112</v>
      </c>
      <c r="E113" s="418" t="s">
        <v>757</v>
      </c>
      <c r="F113" s="419">
        <v>135.30000000000001</v>
      </c>
      <c r="G113" s="420" t="s">
        <v>766</v>
      </c>
      <c r="H113" s="420" t="s">
        <v>769</v>
      </c>
      <c r="I113" s="420">
        <v>135.30000000000001</v>
      </c>
      <c r="J113" s="419">
        <v>0</v>
      </c>
      <c r="K113" s="419">
        <f>I113+J113</f>
        <v>135.30000000000001</v>
      </c>
      <c r="L113" s="419">
        <v>0</v>
      </c>
      <c r="M113" s="134"/>
      <c r="N113" s="230">
        <v>1</v>
      </c>
      <c r="O113" s="423">
        <v>1</v>
      </c>
      <c r="P113" s="231">
        <v>4363000</v>
      </c>
      <c r="Q113" s="231">
        <f>+ROUND((P113*N113*K113),-3)</f>
        <v>590314000</v>
      </c>
      <c r="R113" s="231">
        <f>-ROUND((38000*J113*0.5%),-3)</f>
        <v>0</v>
      </c>
      <c r="S113" s="408">
        <f>+Q113+R113</f>
        <v>590314000</v>
      </c>
      <c r="T113" s="831"/>
    </row>
    <row r="114" spans="1:20" s="19" customFormat="1" ht="19.5" x14ac:dyDescent="0.3">
      <c r="A114" s="272" t="s">
        <v>28</v>
      </c>
      <c r="B114" s="273" t="s">
        <v>141</v>
      </c>
      <c r="C114" s="233"/>
      <c r="D114" s="233"/>
      <c r="E114" s="233"/>
      <c r="F114" s="233"/>
      <c r="G114" s="233"/>
      <c r="H114" s="233"/>
      <c r="I114" s="234"/>
      <c r="J114" s="233"/>
      <c r="K114" s="235"/>
      <c r="L114" s="235"/>
      <c r="M114" s="233"/>
      <c r="N114" s="235"/>
      <c r="O114" s="233"/>
      <c r="P114" s="236"/>
      <c r="Q114" s="237"/>
      <c r="R114" s="237"/>
      <c r="S114" s="441">
        <f>S119</f>
        <v>287000</v>
      </c>
      <c r="T114" s="233"/>
    </row>
    <row r="115" spans="1:20" s="19" customFormat="1" ht="52.5" customHeight="1" x14ac:dyDescent="0.3">
      <c r="A115" s="800" t="s">
        <v>5</v>
      </c>
      <c r="B115" s="802" t="s">
        <v>30</v>
      </c>
      <c r="C115" s="802" t="s">
        <v>31</v>
      </c>
      <c r="D115" s="802" t="s">
        <v>32</v>
      </c>
      <c r="E115" s="803" t="s">
        <v>33</v>
      </c>
      <c r="F115" s="758"/>
      <c r="G115" s="802" t="s">
        <v>34</v>
      </c>
      <c r="H115" s="802" t="s">
        <v>35</v>
      </c>
      <c r="I115" s="804" t="s">
        <v>36</v>
      </c>
      <c r="J115" s="758"/>
      <c r="K115" s="769" t="s">
        <v>37</v>
      </c>
      <c r="L115" s="769" t="s">
        <v>38</v>
      </c>
      <c r="M115" s="805" t="s">
        <v>39</v>
      </c>
      <c r="N115" s="802" t="s">
        <v>839</v>
      </c>
      <c r="O115" s="802" t="s">
        <v>967</v>
      </c>
      <c r="P115" s="806" t="s">
        <v>41</v>
      </c>
      <c r="Q115" s="806" t="s">
        <v>42</v>
      </c>
      <c r="R115" s="802" t="s">
        <v>43</v>
      </c>
      <c r="S115" s="802" t="s">
        <v>44</v>
      </c>
      <c r="T115" s="807" t="s">
        <v>15</v>
      </c>
    </row>
    <row r="116" spans="1:20" s="19" customFormat="1" ht="67.5" customHeight="1" x14ac:dyDescent="0.3">
      <c r="A116" s="801"/>
      <c r="B116" s="766"/>
      <c r="C116" s="766"/>
      <c r="D116" s="766"/>
      <c r="E116" s="167" t="s">
        <v>45</v>
      </c>
      <c r="F116" s="167" t="s">
        <v>46</v>
      </c>
      <c r="G116" s="766"/>
      <c r="H116" s="766"/>
      <c r="I116" s="140" t="s">
        <v>47</v>
      </c>
      <c r="J116" s="143" t="s">
        <v>48</v>
      </c>
      <c r="K116" s="766"/>
      <c r="L116" s="766"/>
      <c r="M116" s="766"/>
      <c r="N116" s="766"/>
      <c r="O116" s="766"/>
      <c r="P116" s="766"/>
      <c r="Q116" s="766"/>
      <c r="R116" s="766"/>
      <c r="S116" s="766"/>
      <c r="T116" s="808"/>
    </row>
    <row r="117" spans="1:20" s="19" customFormat="1" ht="37.5" x14ac:dyDescent="0.3">
      <c r="A117" s="316" t="s">
        <v>142</v>
      </c>
      <c r="B117" s="167" t="s">
        <v>198</v>
      </c>
      <c r="C117" s="167"/>
      <c r="D117" s="167"/>
      <c r="E117" s="167"/>
      <c r="F117" s="167"/>
      <c r="G117" s="167"/>
      <c r="H117" s="167"/>
      <c r="I117" s="140"/>
      <c r="J117" s="143"/>
      <c r="K117" s="159"/>
      <c r="L117" s="159"/>
      <c r="M117" s="241"/>
      <c r="N117" s="167"/>
      <c r="O117" s="167"/>
      <c r="P117" s="45"/>
      <c r="Q117" s="45"/>
      <c r="R117" s="167"/>
      <c r="S117" s="167"/>
      <c r="T117" s="317"/>
    </row>
    <row r="118" spans="1:20" s="19" customFormat="1" ht="37.5" x14ac:dyDescent="0.3">
      <c r="A118" s="310" t="s">
        <v>19</v>
      </c>
      <c r="B118" s="311" t="s">
        <v>844</v>
      </c>
      <c r="C118" s="311" t="s">
        <v>199</v>
      </c>
      <c r="D118" s="52"/>
      <c r="E118" s="138" t="s">
        <v>27</v>
      </c>
      <c r="F118" s="139" t="s">
        <v>52</v>
      </c>
      <c r="G118" s="138" t="s">
        <v>146</v>
      </c>
      <c r="H118" s="138" t="s">
        <v>21</v>
      </c>
      <c r="I118" s="140" t="s">
        <v>200</v>
      </c>
      <c r="J118" s="141"/>
      <c r="K118" s="142">
        <v>1</v>
      </c>
      <c r="L118" s="142">
        <f>K118</f>
        <v>1</v>
      </c>
      <c r="M118" s="52" t="s">
        <v>54</v>
      </c>
      <c r="N118" s="143">
        <f>10000/1500</f>
        <v>6.666666666666667</v>
      </c>
      <c r="O118" s="143">
        <f>N118*L118</f>
        <v>6.666666666666667</v>
      </c>
      <c r="P118" s="144">
        <v>287000</v>
      </c>
      <c r="Q118" s="144">
        <f>+ROUND((L118*P118),-3)</f>
        <v>287000</v>
      </c>
      <c r="R118" s="145">
        <v>1</v>
      </c>
      <c r="S118" s="144">
        <f>+Q118*R118</f>
        <v>287000</v>
      </c>
      <c r="T118" s="52" t="s">
        <v>148</v>
      </c>
    </row>
    <row r="119" spans="1:20" s="19" customFormat="1" ht="18.75" x14ac:dyDescent="0.3">
      <c r="A119" s="136"/>
      <c r="B119" s="166" t="s">
        <v>55</v>
      </c>
      <c r="C119" s="166"/>
      <c r="D119" s="240"/>
      <c r="E119" s="159"/>
      <c r="F119" s="167"/>
      <c r="G119" s="167"/>
      <c r="H119" s="167"/>
      <c r="I119" s="168"/>
      <c r="J119" s="167"/>
      <c r="K119" s="167"/>
      <c r="L119" s="167"/>
      <c r="M119" s="167"/>
      <c r="N119" s="167"/>
      <c r="O119" s="167"/>
      <c r="P119" s="167"/>
      <c r="Q119" s="167"/>
      <c r="R119" s="45"/>
      <c r="S119" s="45">
        <f>SUM(S118)</f>
        <v>287000</v>
      </c>
      <c r="T119" s="185"/>
    </row>
    <row r="120" spans="1:20" s="19" customFormat="1" ht="57.75" customHeight="1" x14ac:dyDescent="0.3">
      <c r="A120" s="272" t="s">
        <v>56</v>
      </c>
      <c r="B120" s="273" t="s">
        <v>201</v>
      </c>
      <c r="C120" s="233"/>
      <c r="D120" s="233"/>
      <c r="E120" s="233"/>
      <c r="F120" s="233"/>
      <c r="G120" s="233"/>
      <c r="H120" s="233"/>
      <c r="I120" s="234"/>
      <c r="J120" s="233"/>
      <c r="K120" s="235"/>
      <c r="L120" s="235"/>
      <c r="M120" s="233"/>
      <c r="N120" s="235"/>
      <c r="O120" s="233"/>
      <c r="P120" s="236"/>
      <c r="Q120" s="233"/>
      <c r="R120" s="233"/>
      <c r="S120" s="237">
        <f>S147</f>
        <v>116022000</v>
      </c>
      <c r="T120" s="233"/>
    </row>
    <row r="121" spans="1:20" s="19" customFormat="1" ht="18.75" customHeight="1" x14ac:dyDescent="0.3">
      <c r="A121" s="765"/>
      <c r="B121" s="767" t="s">
        <v>51</v>
      </c>
      <c r="C121" s="767" t="s">
        <v>58</v>
      </c>
      <c r="D121" s="768" t="s">
        <v>59</v>
      </c>
      <c r="E121" s="769" t="s">
        <v>60</v>
      </c>
      <c r="F121" s="769" t="s">
        <v>61</v>
      </c>
      <c r="G121" s="769" t="s">
        <v>62</v>
      </c>
      <c r="H121" s="769" t="s">
        <v>63</v>
      </c>
      <c r="I121" s="770" t="s">
        <v>64</v>
      </c>
      <c r="J121" s="757"/>
      <c r="K121" s="757"/>
      <c r="L121" s="757"/>
      <c r="M121" s="758"/>
      <c r="N121" s="771" t="s">
        <v>3</v>
      </c>
      <c r="O121" s="771" t="s">
        <v>65</v>
      </c>
      <c r="P121" s="771" t="s">
        <v>66</v>
      </c>
      <c r="Q121" s="771" t="s">
        <v>67</v>
      </c>
      <c r="R121" s="767" t="s">
        <v>68</v>
      </c>
      <c r="S121" s="767" t="s">
        <v>69</v>
      </c>
      <c r="T121" s="767" t="s">
        <v>70</v>
      </c>
    </row>
    <row r="122" spans="1:20" s="19" customFormat="1" ht="18.75" customHeight="1" x14ac:dyDescent="0.3">
      <c r="A122" s="766"/>
      <c r="B122" s="766"/>
      <c r="C122" s="766"/>
      <c r="D122" s="766"/>
      <c r="E122" s="766"/>
      <c r="F122" s="766"/>
      <c r="G122" s="766"/>
      <c r="H122" s="766"/>
      <c r="I122" s="168" t="s">
        <v>71</v>
      </c>
      <c r="J122" s="159" t="s">
        <v>72</v>
      </c>
      <c r="K122" s="159" t="s">
        <v>73</v>
      </c>
      <c r="L122" s="45" t="s">
        <v>74</v>
      </c>
      <c r="M122" s="204" t="s">
        <v>75</v>
      </c>
      <c r="N122" s="766"/>
      <c r="O122" s="766"/>
      <c r="P122" s="766"/>
      <c r="Q122" s="766"/>
      <c r="R122" s="766"/>
      <c r="S122" s="766"/>
      <c r="T122" s="766"/>
    </row>
    <row r="123" spans="1:20" s="19" customFormat="1" ht="93.75" customHeight="1" x14ac:dyDescent="0.3">
      <c r="A123" s="196" t="s">
        <v>5</v>
      </c>
      <c r="B123" s="49" t="s">
        <v>76</v>
      </c>
      <c r="C123" s="49" t="s">
        <v>77</v>
      </c>
      <c r="D123" s="49" t="s">
        <v>78</v>
      </c>
      <c r="E123" s="159" t="s">
        <v>79</v>
      </c>
      <c r="F123" s="159" t="s">
        <v>80</v>
      </c>
      <c r="G123" s="159" t="s">
        <v>81</v>
      </c>
      <c r="H123" s="45" t="s">
        <v>82</v>
      </c>
      <c r="I123" s="168" t="s">
        <v>83</v>
      </c>
      <c r="J123" s="242" t="s">
        <v>84</v>
      </c>
      <c r="K123" s="242" t="s">
        <v>85</v>
      </c>
      <c r="L123" s="49" t="s">
        <v>86</v>
      </c>
      <c r="M123" s="204" t="s">
        <v>87</v>
      </c>
      <c r="N123" s="159" t="s">
        <v>88</v>
      </c>
      <c r="O123" s="159" t="s">
        <v>89</v>
      </c>
      <c r="P123" s="159" t="s">
        <v>90</v>
      </c>
      <c r="Q123" s="159" t="s">
        <v>91</v>
      </c>
      <c r="R123" s="159" t="s">
        <v>92</v>
      </c>
      <c r="S123" s="159" t="s">
        <v>964</v>
      </c>
      <c r="T123" s="159" t="s">
        <v>15</v>
      </c>
    </row>
    <row r="124" spans="1:20" ht="62.25" customHeight="1" x14ac:dyDescent="0.3">
      <c r="A124" s="490" t="s">
        <v>142</v>
      </c>
      <c r="B124" s="915" t="s">
        <v>202</v>
      </c>
      <c r="C124" s="916"/>
      <c r="D124" s="491"/>
      <c r="E124" s="458"/>
      <c r="F124" s="458"/>
      <c r="G124" s="458"/>
      <c r="H124" s="459"/>
      <c r="I124" s="492"/>
      <c r="J124" s="493"/>
      <c r="K124" s="493"/>
      <c r="L124" s="491"/>
      <c r="M124" s="494"/>
      <c r="N124" s="458"/>
      <c r="O124" s="458"/>
      <c r="P124" s="458"/>
      <c r="Q124" s="458"/>
      <c r="R124" s="458"/>
      <c r="S124" s="458"/>
      <c r="T124" s="458"/>
    </row>
    <row r="125" spans="1:20" ht="40.5" customHeight="1" x14ac:dyDescent="0.3">
      <c r="A125" s="453" t="s">
        <v>19</v>
      </c>
      <c r="B125" s="498" t="s">
        <v>203</v>
      </c>
      <c r="C125" s="498" t="s">
        <v>204</v>
      </c>
      <c r="D125" s="499" t="s">
        <v>94</v>
      </c>
      <c r="E125" s="500">
        <v>2003</v>
      </c>
      <c r="F125" s="457" t="s">
        <v>97</v>
      </c>
      <c r="G125" s="457">
        <f t="shared" ref="G125:G146" si="13">2024-E125</f>
        <v>21</v>
      </c>
      <c r="H125" s="460" t="s">
        <v>95</v>
      </c>
      <c r="I125" s="501">
        <f>10*5.6</f>
        <v>56</v>
      </c>
      <c r="J125" s="461" t="s">
        <v>96</v>
      </c>
      <c r="K125" s="460">
        <f t="shared" ref="K125:K134" si="14">+I125-J125</f>
        <v>56</v>
      </c>
      <c r="L125" s="462">
        <v>0.99199999999999999</v>
      </c>
      <c r="M125" s="463">
        <v>189000</v>
      </c>
      <c r="N125" s="464">
        <v>0.8</v>
      </c>
      <c r="O125" s="463">
        <f>+M125</f>
        <v>189000</v>
      </c>
      <c r="P125" s="459">
        <f t="shared" ref="P125:P134" si="15">+ROUND((K125*L125*O125*N125),-3)</f>
        <v>8399000</v>
      </c>
      <c r="Q125" s="463" t="s">
        <v>97</v>
      </c>
      <c r="R125" s="463" t="s">
        <v>97</v>
      </c>
      <c r="S125" s="459">
        <f t="shared" ref="S125:S134" si="16">P125</f>
        <v>8399000</v>
      </c>
      <c r="T125" s="460" t="s">
        <v>205</v>
      </c>
    </row>
    <row r="126" spans="1:20" ht="132" customHeight="1" x14ac:dyDescent="0.3">
      <c r="A126" s="453" t="s">
        <v>98</v>
      </c>
      <c r="B126" s="498" t="s">
        <v>111</v>
      </c>
      <c r="C126" s="498" t="s">
        <v>1015</v>
      </c>
      <c r="D126" s="499" t="s">
        <v>94</v>
      </c>
      <c r="E126" s="500">
        <v>2003</v>
      </c>
      <c r="F126" s="458"/>
      <c r="G126" s="457">
        <f t="shared" si="13"/>
        <v>21</v>
      </c>
      <c r="H126" s="460" t="s">
        <v>95</v>
      </c>
      <c r="I126" s="501">
        <f>2.5*5.6</f>
        <v>14</v>
      </c>
      <c r="J126" s="461" t="s">
        <v>96</v>
      </c>
      <c r="K126" s="460">
        <f t="shared" si="14"/>
        <v>14</v>
      </c>
      <c r="L126" s="462">
        <v>0.99199999999999999</v>
      </c>
      <c r="M126" s="463">
        <v>1400000</v>
      </c>
      <c r="N126" s="464">
        <v>0.8</v>
      </c>
      <c r="O126" s="463">
        <f>M126*80%*90%</f>
        <v>1008000</v>
      </c>
      <c r="P126" s="459">
        <f t="shared" si="15"/>
        <v>11199000</v>
      </c>
      <c r="Q126" s="463" t="s">
        <v>97</v>
      </c>
      <c r="R126" s="463" t="s">
        <v>97</v>
      </c>
      <c r="S126" s="459">
        <f t="shared" si="16"/>
        <v>11199000</v>
      </c>
      <c r="T126" s="460" t="s">
        <v>998</v>
      </c>
    </row>
    <row r="127" spans="1:20" ht="31.5" x14ac:dyDescent="0.3">
      <c r="A127" s="453" t="s">
        <v>104</v>
      </c>
      <c r="B127" s="498" t="s">
        <v>99</v>
      </c>
      <c r="C127" s="498" t="s">
        <v>207</v>
      </c>
      <c r="D127" s="502" t="s">
        <v>100</v>
      </c>
      <c r="E127" s="500">
        <v>2003</v>
      </c>
      <c r="F127" s="458"/>
      <c r="G127" s="457">
        <f t="shared" si="13"/>
        <v>21</v>
      </c>
      <c r="H127" s="460" t="s">
        <v>95</v>
      </c>
      <c r="I127" s="501">
        <f>(0.3*0.3*3)*2</f>
        <v>0.54</v>
      </c>
      <c r="J127" s="461" t="s">
        <v>96</v>
      </c>
      <c r="K127" s="460">
        <f t="shared" si="14"/>
        <v>0.54</v>
      </c>
      <c r="L127" s="462">
        <v>0.99199999999999999</v>
      </c>
      <c r="M127" s="463">
        <v>2556000</v>
      </c>
      <c r="N127" s="464">
        <v>0.8</v>
      </c>
      <c r="O127" s="463">
        <f>+M127</f>
        <v>2556000</v>
      </c>
      <c r="P127" s="459">
        <f t="shared" si="15"/>
        <v>1095000</v>
      </c>
      <c r="Q127" s="463" t="s">
        <v>97</v>
      </c>
      <c r="R127" s="463" t="s">
        <v>97</v>
      </c>
      <c r="S127" s="459">
        <f t="shared" si="16"/>
        <v>1095000</v>
      </c>
      <c r="T127" s="460" t="s">
        <v>169</v>
      </c>
    </row>
    <row r="128" spans="1:20" ht="31.5" x14ac:dyDescent="0.3">
      <c r="A128" s="453" t="s">
        <v>107</v>
      </c>
      <c r="B128" s="498" t="s">
        <v>105</v>
      </c>
      <c r="C128" s="498" t="s">
        <v>208</v>
      </c>
      <c r="D128" s="499" t="s">
        <v>94</v>
      </c>
      <c r="E128" s="500">
        <v>2003</v>
      </c>
      <c r="F128" s="458"/>
      <c r="G128" s="457">
        <f t="shared" si="13"/>
        <v>21</v>
      </c>
      <c r="H128" s="460" t="s">
        <v>95</v>
      </c>
      <c r="I128" s="501">
        <f>3*3</f>
        <v>9</v>
      </c>
      <c r="J128" s="461" t="s">
        <v>96</v>
      </c>
      <c r="K128" s="460">
        <f t="shared" si="14"/>
        <v>9</v>
      </c>
      <c r="L128" s="462">
        <v>0.99199999999999999</v>
      </c>
      <c r="M128" s="463">
        <v>835000</v>
      </c>
      <c r="N128" s="464">
        <v>0.8</v>
      </c>
      <c r="O128" s="463">
        <f>+M128</f>
        <v>835000</v>
      </c>
      <c r="P128" s="459">
        <f t="shared" si="15"/>
        <v>5964000</v>
      </c>
      <c r="Q128" s="463" t="s">
        <v>97</v>
      </c>
      <c r="R128" s="463" t="s">
        <v>97</v>
      </c>
      <c r="S128" s="459">
        <f t="shared" si="16"/>
        <v>5964000</v>
      </c>
      <c r="T128" s="460" t="s">
        <v>174</v>
      </c>
    </row>
    <row r="129" spans="1:20" ht="31.5" x14ac:dyDescent="0.3">
      <c r="A129" s="453" t="s">
        <v>110</v>
      </c>
      <c r="B129" s="498" t="s">
        <v>105</v>
      </c>
      <c r="C129" s="498" t="s">
        <v>209</v>
      </c>
      <c r="D129" s="499" t="s">
        <v>94</v>
      </c>
      <c r="E129" s="500">
        <v>2003</v>
      </c>
      <c r="F129" s="458"/>
      <c r="G129" s="457">
        <f t="shared" si="13"/>
        <v>21</v>
      </c>
      <c r="H129" s="460" t="s">
        <v>95</v>
      </c>
      <c r="I129" s="501">
        <f>2*1.2</f>
        <v>2.4</v>
      </c>
      <c r="J129" s="461" t="s">
        <v>96</v>
      </c>
      <c r="K129" s="460">
        <f t="shared" si="14"/>
        <v>2.4</v>
      </c>
      <c r="L129" s="462">
        <v>0.99199999999999999</v>
      </c>
      <c r="M129" s="463">
        <v>835000</v>
      </c>
      <c r="N129" s="464">
        <v>0.8</v>
      </c>
      <c r="O129" s="463">
        <f>+M129</f>
        <v>835000</v>
      </c>
      <c r="P129" s="459">
        <f t="shared" si="15"/>
        <v>1590000</v>
      </c>
      <c r="Q129" s="463" t="s">
        <v>97</v>
      </c>
      <c r="R129" s="463" t="s">
        <v>97</v>
      </c>
      <c r="S129" s="459">
        <f t="shared" si="16"/>
        <v>1590000</v>
      </c>
      <c r="T129" s="460" t="s">
        <v>174</v>
      </c>
    </row>
    <row r="130" spans="1:20" ht="149.25" customHeight="1" x14ac:dyDescent="0.3">
      <c r="A130" s="453" t="s">
        <v>112</v>
      </c>
      <c r="B130" s="498" t="s">
        <v>93</v>
      </c>
      <c r="C130" s="498" t="s">
        <v>1016</v>
      </c>
      <c r="D130" s="499" t="s">
        <v>94</v>
      </c>
      <c r="E130" s="500">
        <v>2003</v>
      </c>
      <c r="F130" s="458"/>
      <c r="G130" s="457">
        <f t="shared" si="13"/>
        <v>21</v>
      </c>
      <c r="H130" s="460" t="s">
        <v>95</v>
      </c>
      <c r="I130" s="501">
        <f>2.2*5</f>
        <v>11</v>
      </c>
      <c r="J130" s="461" t="s">
        <v>96</v>
      </c>
      <c r="K130" s="460">
        <f t="shared" si="14"/>
        <v>11</v>
      </c>
      <c r="L130" s="462">
        <v>0.99199999999999999</v>
      </c>
      <c r="M130" s="463">
        <v>1487000</v>
      </c>
      <c r="N130" s="464">
        <v>0.8</v>
      </c>
      <c r="O130" s="463">
        <f>M130*80%*90%</f>
        <v>1070640</v>
      </c>
      <c r="P130" s="459">
        <f t="shared" si="15"/>
        <v>9346000</v>
      </c>
      <c r="Q130" s="463" t="s">
        <v>97</v>
      </c>
      <c r="R130" s="463" t="s">
        <v>97</v>
      </c>
      <c r="S130" s="459">
        <f t="shared" si="16"/>
        <v>9346000</v>
      </c>
      <c r="T130" s="460" t="s">
        <v>1009</v>
      </c>
    </row>
    <row r="131" spans="1:20" ht="47.25" x14ac:dyDescent="0.3">
      <c r="A131" s="453" t="s">
        <v>115</v>
      </c>
      <c r="B131" s="498" t="s">
        <v>113</v>
      </c>
      <c r="C131" s="498" t="s">
        <v>210</v>
      </c>
      <c r="D131" s="499" t="s">
        <v>94</v>
      </c>
      <c r="E131" s="500">
        <v>2003</v>
      </c>
      <c r="F131" s="458"/>
      <c r="G131" s="457">
        <f t="shared" si="13"/>
        <v>21</v>
      </c>
      <c r="H131" s="460" t="s">
        <v>95</v>
      </c>
      <c r="I131" s="501">
        <f>(2.4*8)/2</f>
        <v>9.6</v>
      </c>
      <c r="J131" s="461" t="s">
        <v>96</v>
      </c>
      <c r="K131" s="460">
        <f t="shared" si="14"/>
        <v>9.6</v>
      </c>
      <c r="L131" s="462">
        <v>0.99199999999999999</v>
      </c>
      <c r="M131" s="463">
        <v>418000</v>
      </c>
      <c r="N131" s="464">
        <v>0.8</v>
      </c>
      <c r="O131" s="463">
        <f>+M131</f>
        <v>418000</v>
      </c>
      <c r="P131" s="459">
        <f t="shared" si="15"/>
        <v>3185000</v>
      </c>
      <c r="Q131" s="463" t="s">
        <v>97</v>
      </c>
      <c r="R131" s="463" t="s">
        <v>97</v>
      </c>
      <c r="S131" s="459">
        <f t="shared" si="16"/>
        <v>3185000</v>
      </c>
      <c r="T131" s="460" t="s">
        <v>211</v>
      </c>
    </row>
    <row r="132" spans="1:20" ht="111" customHeight="1" x14ac:dyDescent="0.3">
      <c r="A132" s="453" t="s">
        <v>119</v>
      </c>
      <c r="B132" s="498" t="s">
        <v>123</v>
      </c>
      <c r="C132" s="498" t="s">
        <v>212</v>
      </c>
      <c r="D132" s="502" t="s">
        <v>100</v>
      </c>
      <c r="E132" s="500">
        <v>2003</v>
      </c>
      <c r="F132" s="458"/>
      <c r="G132" s="457">
        <f t="shared" si="13"/>
        <v>21</v>
      </c>
      <c r="H132" s="460" t="s">
        <v>95</v>
      </c>
      <c r="I132" s="501">
        <f>(1*1*0.1)*5</f>
        <v>0.5</v>
      </c>
      <c r="J132" s="461" t="s">
        <v>96</v>
      </c>
      <c r="K132" s="460">
        <f t="shared" si="14"/>
        <v>0.5</v>
      </c>
      <c r="L132" s="462">
        <v>0.99199999999999999</v>
      </c>
      <c r="M132" s="463">
        <v>6270000</v>
      </c>
      <c r="N132" s="464">
        <v>0.2</v>
      </c>
      <c r="O132" s="463">
        <f>+M132</f>
        <v>6270000</v>
      </c>
      <c r="P132" s="459">
        <f t="shared" si="15"/>
        <v>622000</v>
      </c>
      <c r="Q132" s="463" t="s">
        <v>97</v>
      </c>
      <c r="R132" s="463" t="s">
        <v>97</v>
      </c>
      <c r="S132" s="459">
        <f t="shared" si="16"/>
        <v>622000</v>
      </c>
      <c r="T132" s="460" t="s">
        <v>1017</v>
      </c>
    </row>
    <row r="133" spans="1:20" ht="111" customHeight="1" x14ac:dyDescent="0.3">
      <c r="A133" s="453" t="s">
        <v>122</v>
      </c>
      <c r="B133" s="498" t="s">
        <v>126</v>
      </c>
      <c r="C133" s="498" t="s">
        <v>213</v>
      </c>
      <c r="D133" s="502" t="s">
        <v>100</v>
      </c>
      <c r="E133" s="500">
        <v>2003</v>
      </c>
      <c r="F133" s="458"/>
      <c r="G133" s="457">
        <f t="shared" si="13"/>
        <v>21</v>
      </c>
      <c r="H133" s="460" t="s">
        <v>95</v>
      </c>
      <c r="I133" s="501">
        <f>(0.2*0.5*16)</f>
        <v>1.6</v>
      </c>
      <c r="J133" s="461" t="s">
        <v>96</v>
      </c>
      <c r="K133" s="460">
        <f t="shared" si="14"/>
        <v>1.6</v>
      </c>
      <c r="L133" s="462">
        <v>0.99199999999999999</v>
      </c>
      <c r="M133" s="463">
        <v>2360000</v>
      </c>
      <c r="N133" s="464">
        <v>0.2</v>
      </c>
      <c r="O133" s="463">
        <f>+M133</f>
        <v>2360000</v>
      </c>
      <c r="P133" s="459">
        <f t="shared" si="15"/>
        <v>749000</v>
      </c>
      <c r="Q133" s="463" t="s">
        <v>97</v>
      </c>
      <c r="R133" s="463" t="s">
        <v>97</v>
      </c>
      <c r="S133" s="459">
        <f t="shared" si="16"/>
        <v>749000</v>
      </c>
      <c r="T133" s="460" t="s">
        <v>1018</v>
      </c>
    </row>
    <row r="134" spans="1:20" ht="111" customHeight="1" x14ac:dyDescent="0.3">
      <c r="A134" s="453" t="s">
        <v>125</v>
      </c>
      <c r="B134" s="503" t="s">
        <v>214</v>
      </c>
      <c r="C134" s="503" t="s">
        <v>215</v>
      </c>
      <c r="D134" s="504" t="s">
        <v>94</v>
      </c>
      <c r="E134" s="505">
        <v>2003</v>
      </c>
      <c r="F134" s="458"/>
      <c r="G134" s="457">
        <f t="shared" si="13"/>
        <v>21</v>
      </c>
      <c r="H134" s="460" t="s">
        <v>95</v>
      </c>
      <c r="I134" s="506">
        <f>5*1.6</f>
        <v>8</v>
      </c>
      <c r="J134" s="461" t="s">
        <v>96</v>
      </c>
      <c r="K134" s="460">
        <f t="shared" si="14"/>
        <v>8</v>
      </c>
      <c r="L134" s="462">
        <v>0.99199999999999999</v>
      </c>
      <c r="M134" s="463">
        <v>268000</v>
      </c>
      <c r="N134" s="464">
        <v>0.2</v>
      </c>
      <c r="O134" s="463">
        <f>+M134</f>
        <v>268000</v>
      </c>
      <c r="P134" s="459">
        <f t="shared" si="15"/>
        <v>425000</v>
      </c>
      <c r="Q134" s="463" t="s">
        <v>97</v>
      </c>
      <c r="R134" s="463" t="s">
        <v>97</v>
      </c>
      <c r="S134" s="459">
        <f t="shared" si="16"/>
        <v>425000</v>
      </c>
      <c r="T134" s="460" t="s">
        <v>1019</v>
      </c>
    </row>
    <row r="135" spans="1:20" ht="18.75" x14ac:dyDescent="0.3">
      <c r="A135" s="458" t="s">
        <v>142</v>
      </c>
      <c r="B135" s="915" t="s">
        <v>198</v>
      </c>
      <c r="C135" s="916"/>
      <c r="D135" s="465"/>
      <c r="E135" s="457"/>
      <c r="F135" s="458"/>
      <c r="G135" s="457"/>
      <c r="H135" s="460"/>
      <c r="I135" s="461"/>
      <c r="J135" s="461"/>
      <c r="K135" s="460"/>
      <c r="L135" s="462"/>
      <c r="M135" s="463"/>
      <c r="N135" s="464"/>
      <c r="O135" s="463"/>
      <c r="P135" s="459"/>
      <c r="Q135" s="463"/>
      <c r="R135" s="463"/>
      <c r="S135" s="459"/>
      <c r="T135" s="460"/>
    </row>
    <row r="136" spans="1:20" ht="135" customHeight="1" x14ac:dyDescent="0.3">
      <c r="A136" s="453" t="s">
        <v>19</v>
      </c>
      <c r="B136" s="498" t="s">
        <v>93</v>
      </c>
      <c r="C136" s="498" t="s">
        <v>1020</v>
      </c>
      <c r="D136" s="465" t="s">
        <v>1021</v>
      </c>
      <c r="E136" s="500">
        <v>2003</v>
      </c>
      <c r="F136" s="458"/>
      <c r="G136" s="457">
        <f t="shared" si="13"/>
        <v>21</v>
      </c>
      <c r="H136" s="460" t="s">
        <v>95</v>
      </c>
      <c r="I136" s="501">
        <f>2.2*12.5</f>
        <v>27.500000000000004</v>
      </c>
      <c r="J136" s="461" t="s">
        <v>96</v>
      </c>
      <c r="K136" s="460">
        <f t="shared" ref="K136:K146" si="17">+I136-J136</f>
        <v>27.500000000000004</v>
      </c>
      <c r="L136" s="462">
        <v>0.99199999999999999</v>
      </c>
      <c r="M136" s="463">
        <v>1487000</v>
      </c>
      <c r="N136" s="464">
        <v>0.6</v>
      </c>
      <c r="O136" s="463">
        <f>+M136*80%*90%</f>
        <v>1070640</v>
      </c>
      <c r="P136" s="459">
        <f t="shared" ref="P136:P146" si="18">+ROUND((K136*L136*O136*N136),-3)</f>
        <v>17524000</v>
      </c>
      <c r="Q136" s="463" t="s">
        <v>97</v>
      </c>
      <c r="R136" s="463" t="s">
        <v>97</v>
      </c>
      <c r="S136" s="459">
        <f t="shared" ref="S136:S146" si="19">P136</f>
        <v>17524000</v>
      </c>
      <c r="T136" s="460" t="s">
        <v>1009</v>
      </c>
    </row>
    <row r="137" spans="1:20" ht="45" customHeight="1" x14ac:dyDescent="0.3">
      <c r="A137" s="453" t="s">
        <v>98</v>
      </c>
      <c r="B137" s="498" t="s">
        <v>1022</v>
      </c>
      <c r="C137" s="498" t="s">
        <v>216</v>
      </c>
      <c r="D137" s="465" t="s">
        <v>1021</v>
      </c>
      <c r="E137" s="500">
        <v>2009</v>
      </c>
      <c r="F137" s="458"/>
      <c r="G137" s="457">
        <f t="shared" si="13"/>
        <v>15</v>
      </c>
      <c r="H137" s="460" t="s">
        <v>95</v>
      </c>
      <c r="I137" s="501">
        <f>3*15.5</f>
        <v>46.5</v>
      </c>
      <c r="J137" s="461" t="s">
        <v>96</v>
      </c>
      <c r="K137" s="460">
        <f t="shared" si="17"/>
        <v>46.5</v>
      </c>
      <c r="L137" s="462">
        <v>0.99199999999999999</v>
      </c>
      <c r="M137" s="463">
        <v>358000</v>
      </c>
      <c r="N137" s="464">
        <v>0.6</v>
      </c>
      <c r="O137" s="463">
        <f t="shared" ref="O137:O146" si="20">+M137</f>
        <v>358000</v>
      </c>
      <c r="P137" s="459">
        <f t="shared" si="18"/>
        <v>9908000</v>
      </c>
      <c r="Q137" s="463" t="s">
        <v>97</v>
      </c>
      <c r="R137" s="463" t="s">
        <v>97</v>
      </c>
      <c r="S137" s="459">
        <f t="shared" si="19"/>
        <v>9908000</v>
      </c>
      <c r="T137" s="460" t="s">
        <v>1023</v>
      </c>
    </row>
    <row r="138" spans="1:20" ht="54" customHeight="1" x14ac:dyDescent="0.3">
      <c r="A138" s="453" t="s">
        <v>104</v>
      </c>
      <c r="B138" s="498" t="s">
        <v>99</v>
      </c>
      <c r="C138" s="498" t="s">
        <v>1024</v>
      </c>
      <c r="D138" s="465" t="s">
        <v>217</v>
      </c>
      <c r="E138" s="500">
        <v>2009</v>
      </c>
      <c r="F138" s="458"/>
      <c r="G138" s="457">
        <f t="shared" si="13"/>
        <v>15</v>
      </c>
      <c r="H138" s="460" t="s">
        <v>95</v>
      </c>
      <c r="I138" s="501">
        <f>(0.6*0.6*4)*2</f>
        <v>2.88</v>
      </c>
      <c r="J138" s="461" t="s">
        <v>96</v>
      </c>
      <c r="K138" s="460">
        <f t="shared" si="17"/>
        <v>2.88</v>
      </c>
      <c r="L138" s="462">
        <v>0.99199999999999999</v>
      </c>
      <c r="M138" s="463">
        <v>2556000</v>
      </c>
      <c r="N138" s="464">
        <v>0.6</v>
      </c>
      <c r="O138" s="463">
        <f t="shared" si="20"/>
        <v>2556000</v>
      </c>
      <c r="P138" s="459">
        <f t="shared" si="18"/>
        <v>4381000</v>
      </c>
      <c r="Q138" s="463" t="s">
        <v>97</v>
      </c>
      <c r="R138" s="463" t="s">
        <v>97</v>
      </c>
      <c r="S138" s="459">
        <f t="shared" si="19"/>
        <v>4381000</v>
      </c>
      <c r="T138" s="460" t="s">
        <v>169</v>
      </c>
    </row>
    <row r="139" spans="1:20" ht="45" customHeight="1" x14ac:dyDescent="0.3">
      <c r="A139" s="453" t="s">
        <v>101</v>
      </c>
      <c r="B139" s="498" t="s">
        <v>102</v>
      </c>
      <c r="C139" s="498" t="s">
        <v>218</v>
      </c>
      <c r="D139" s="465" t="s">
        <v>1021</v>
      </c>
      <c r="E139" s="500">
        <v>2009</v>
      </c>
      <c r="F139" s="458"/>
      <c r="G139" s="457">
        <f t="shared" si="13"/>
        <v>15</v>
      </c>
      <c r="H139" s="460" t="s">
        <v>95</v>
      </c>
      <c r="I139" s="501">
        <f>(0.6*4)*4*2</f>
        <v>19.2</v>
      </c>
      <c r="J139" s="461" t="s">
        <v>96</v>
      </c>
      <c r="K139" s="460">
        <f t="shared" si="17"/>
        <v>19.2</v>
      </c>
      <c r="L139" s="462">
        <v>0.99199999999999999</v>
      </c>
      <c r="M139" s="463">
        <v>1486000</v>
      </c>
      <c r="N139" s="464">
        <v>0.6</v>
      </c>
      <c r="O139" s="463">
        <f t="shared" si="20"/>
        <v>1486000</v>
      </c>
      <c r="P139" s="459">
        <f t="shared" si="18"/>
        <v>16982000</v>
      </c>
      <c r="Q139" s="463" t="s">
        <v>97</v>
      </c>
      <c r="R139" s="463" t="s">
        <v>97</v>
      </c>
      <c r="S139" s="459">
        <f t="shared" si="19"/>
        <v>16982000</v>
      </c>
      <c r="T139" s="460" t="s">
        <v>219</v>
      </c>
    </row>
    <row r="140" spans="1:20" ht="54" customHeight="1" x14ac:dyDescent="0.3">
      <c r="A140" s="453" t="s">
        <v>107</v>
      </c>
      <c r="B140" s="498" t="s">
        <v>120</v>
      </c>
      <c r="C140" s="498" t="s">
        <v>220</v>
      </c>
      <c r="D140" s="465" t="s">
        <v>1021</v>
      </c>
      <c r="E140" s="500">
        <v>2009</v>
      </c>
      <c r="F140" s="458"/>
      <c r="G140" s="457">
        <f t="shared" si="13"/>
        <v>15</v>
      </c>
      <c r="H140" s="460" t="s">
        <v>95</v>
      </c>
      <c r="I140" s="501">
        <f>17.1*3.4</f>
        <v>58.14</v>
      </c>
      <c r="J140" s="461" t="s">
        <v>96</v>
      </c>
      <c r="K140" s="460">
        <f t="shared" si="17"/>
        <v>58.14</v>
      </c>
      <c r="L140" s="462">
        <v>0.99199999999999999</v>
      </c>
      <c r="M140" s="463">
        <v>189000</v>
      </c>
      <c r="N140" s="464">
        <v>0.6</v>
      </c>
      <c r="O140" s="463">
        <f t="shared" si="20"/>
        <v>189000</v>
      </c>
      <c r="P140" s="459">
        <f t="shared" si="18"/>
        <v>6540000</v>
      </c>
      <c r="Q140" s="463" t="s">
        <v>97</v>
      </c>
      <c r="R140" s="463" t="s">
        <v>97</v>
      </c>
      <c r="S140" s="459">
        <f t="shared" si="19"/>
        <v>6540000</v>
      </c>
      <c r="T140" s="460" t="s">
        <v>205</v>
      </c>
    </row>
    <row r="141" spans="1:20" ht="45" customHeight="1" x14ac:dyDescent="0.3">
      <c r="A141" s="453" t="s">
        <v>110</v>
      </c>
      <c r="B141" s="498" t="s">
        <v>221</v>
      </c>
      <c r="C141" s="498" t="s">
        <v>222</v>
      </c>
      <c r="D141" s="465" t="s">
        <v>1021</v>
      </c>
      <c r="E141" s="500">
        <v>2009</v>
      </c>
      <c r="F141" s="458"/>
      <c r="G141" s="457">
        <f t="shared" si="13"/>
        <v>15</v>
      </c>
      <c r="H141" s="460" t="s">
        <v>95</v>
      </c>
      <c r="I141" s="501">
        <f>5*1.5</f>
        <v>7.5</v>
      </c>
      <c r="J141" s="461" t="s">
        <v>96</v>
      </c>
      <c r="K141" s="460">
        <f t="shared" si="17"/>
        <v>7.5</v>
      </c>
      <c r="L141" s="462">
        <v>0.99199999999999999</v>
      </c>
      <c r="M141" s="463">
        <v>273000</v>
      </c>
      <c r="N141" s="464">
        <v>0.6</v>
      </c>
      <c r="O141" s="463">
        <f t="shared" si="20"/>
        <v>273000</v>
      </c>
      <c r="P141" s="459">
        <f t="shared" si="18"/>
        <v>1219000</v>
      </c>
      <c r="Q141" s="463" t="s">
        <v>97</v>
      </c>
      <c r="R141" s="463" t="s">
        <v>97</v>
      </c>
      <c r="S141" s="459">
        <f t="shared" si="19"/>
        <v>1219000</v>
      </c>
      <c r="T141" s="460" t="s">
        <v>223</v>
      </c>
    </row>
    <row r="142" spans="1:20" ht="45" customHeight="1" x14ac:dyDescent="0.3">
      <c r="A142" s="453" t="s">
        <v>112</v>
      </c>
      <c r="B142" s="498" t="s">
        <v>221</v>
      </c>
      <c r="C142" s="498" t="s">
        <v>224</v>
      </c>
      <c r="D142" s="465" t="s">
        <v>1021</v>
      </c>
      <c r="E142" s="500">
        <v>2009</v>
      </c>
      <c r="F142" s="458"/>
      <c r="G142" s="457">
        <f t="shared" si="13"/>
        <v>15</v>
      </c>
      <c r="H142" s="460" t="s">
        <v>95</v>
      </c>
      <c r="I142" s="501">
        <f>1.2*2</f>
        <v>2.4</v>
      </c>
      <c r="J142" s="461" t="s">
        <v>96</v>
      </c>
      <c r="K142" s="460">
        <f t="shared" si="17"/>
        <v>2.4</v>
      </c>
      <c r="L142" s="462">
        <v>0.99199999999999999</v>
      </c>
      <c r="M142" s="463">
        <v>273000</v>
      </c>
      <c r="N142" s="464">
        <v>0.6</v>
      </c>
      <c r="O142" s="463">
        <f t="shared" si="20"/>
        <v>273000</v>
      </c>
      <c r="P142" s="459">
        <f t="shared" si="18"/>
        <v>390000</v>
      </c>
      <c r="Q142" s="463" t="s">
        <v>97</v>
      </c>
      <c r="R142" s="463" t="s">
        <v>97</v>
      </c>
      <c r="S142" s="459">
        <f t="shared" si="19"/>
        <v>390000</v>
      </c>
      <c r="T142" s="460" t="s">
        <v>223</v>
      </c>
    </row>
    <row r="143" spans="1:20" ht="102" customHeight="1" x14ac:dyDescent="0.3">
      <c r="A143" s="453" t="s">
        <v>115</v>
      </c>
      <c r="B143" s="498" t="s">
        <v>214</v>
      </c>
      <c r="C143" s="498" t="s">
        <v>225</v>
      </c>
      <c r="D143" s="465" t="s">
        <v>1021</v>
      </c>
      <c r="E143" s="500">
        <v>2009</v>
      </c>
      <c r="F143" s="458"/>
      <c r="G143" s="457">
        <f t="shared" si="13"/>
        <v>15</v>
      </c>
      <c r="H143" s="460" t="s">
        <v>95</v>
      </c>
      <c r="I143" s="501">
        <f>6.2*5</f>
        <v>31</v>
      </c>
      <c r="J143" s="461" t="s">
        <v>96</v>
      </c>
      <c r="K143" s="460">
        <f t="shared" si="17"/>
        <v>31</v>
      </c>
      <c r="L143" s="462">
        <v>0.99199999999999999</v>
      </c>
      <c r="M143" s="463">
        <v>268000</v>
      </c>
      <c r="N143" s="464">
        <v>0.2</v>
      </c>
      <c r="O143" s="463">
        <f t="shared" si="20"/>
        <v>268000</v>
      </c>
      <c r="P143" s="459">
        <f t="shared" si="18"/>
        <v>1648000</v>
      </c>
      <c r="Q143" s="463" t="s">
        <v>97</v>
      </c>
      <c r="R143" s="463" t="s">
        <v>97</v>
      </c>
      <c r="S143" s="459">
        <f t="shared" si="19"/>
        <v>1648000</v>
      </c>
      <c r="T143" s="460" t="s">
        <v>1019</v>
      </c>
    </row>
    <row r="144" spans="1:20" ht="51.75" customHeight="1" x14ac:dyDescent="0.3">
      <c r="A144" s="453" t="s">
        <v>119</v>
      </c>
      <c r="B144" s="498" t="s">
        <v>105</v>
      </c>
      <c r="C144" s="498" t="s">
        <v>226</v>
      </c>
      <c r="D144" s="465" t="s">
        <v>1021</v>
      </c>
      <c r="E144" s="500">
        <v>2009</v>
      </c>
      <c r="F144" s="458"/>
      <c r="G144" s="457">
        <f t="shared" si="13"/>
        <v>15</v>
      </c>
      <c r="H144" s="460" t="s">
        <v>95</v>
      </c>
      <c r="I144" s="501">
        <f>4*4</f>
        <v>16</v>
      </c>
      <c r="J144" s="461" t="s">
        <v>96</v>
      </c>
      <c r="K144" s="460">
        <f t="shared" si="17"/>
        <v>16</v>
      </c>
      <c r="L144" s="462">
        <v>0.99199999999999999</v>
      </c>
      <c r="M144" s="463">
        <v>835000</v>
      </c>
      <c r="N144" s="464">
        <v>0.6</v>
      </c>
      <c r="O144" s="463">
        <f t="shared" si="20"/>
        <v>835000</v>
      </c>
      <c r="P144" s="459">
        <f t="shared" si="18"/>
        <v>7952000</v>
      </c>
      <c r="Q144" s="463" t="s">
        <v>97</v>
      </c>
      <c r="R144" s="463" t="s">
        <v>97</v>
      </c>
      <c r="S144" s="459">
        <f t="shared" si="19"/>
        <v>7952000</v>
      </c>
      <c r="T144" s="460" t="s">
        <v>174</v>
      </c>
    </row>
    <row r="145" spans="1:20" ht="39.75" customHeight="1" x14ac:dyDescent="0.3">
      <c r="A145" s="453" t="s">
        <v>122</v>
      </c>
      <c r="B145" s="498" t="s">
        <v>176</v>
      </c>
      <c r="C145" s="498" t="s">
        <v>227</v>
      </c>
      <c r="D145" s="465" t="s">
        <v>190</v>
      </c>
      <c r="E145" s="500">
        <v>2009</v>
      </c>
      <c r="F145" s="458"/>
      <c r="G145" s="457">
        <f t="shared" si="13"/>
        <v>15</v>
      </c>
      <c r="H145" s="460" t="s">
        <v>95</v>
      </c>
      <c r="I145" s="501">
        <f>8</f>
        <v>8</v>
      </c>
      <c r="J145" s="461" t="s">
        <v>96</v>
      </c>
      <c r="K145" s="460">
        <f t="shared" si="17"/>
        <v>8</v>
      </c>
      <c r="L145" s="462">
        <v>0.99199999999999999</v>
      </c>
      <c r="M145" s="463">
        <v>656000</v>
      </c>
      <c r="N145" s="464">
        <v>0.6</v>
      </c>
      <c r="O145" s="463">
        <f t="shared" si="20"/>
        <v>656000</v>
      </c>
      <c r="P145" s="459">
        <f t="shared" si="18"/>
        <v>3124000</v>
      </c>
      <c r="Q145" s="463" t="s">
        <v>97</v>
      </c>
      <c r="R145" s="463" t="s">
        <v>97</v>
      </c>
      <c r="S145" s="459">
        <f t="shared" si="19"/>
        <v>3124000</v>
      </c>
      <c r="T145" s="460" t="s">
        <v>228</v>
      </c>
    </row>
    <row r="146" spans="1:20" ht="54" customHeight="1" x14ac:dyDescent="0.3">
      <c r="A146" s="453" t="s">
        <v>125</v>
      </c>
      <c r="B146" s="498" t="s">
        <v>120</v>
      </c>
      <c r="C146" s="498" t="s">
        <v>229</v>
      </c>
      <c r="D146" s="465" t="s">
        <v>1021</v>
      </c>
      <c r="E146" s="500">
        <v>2003</v>
      </c>
      <c r="F146" s="458"/>
      <c r="G146" s="457">
        <f t="shared" si="13"/>
        <v>21</v>
      </c>
      <c r="H146" s="460" t="s">
        <v>95</v>
      </c>
      <c r="I146" s="501">
        <f>6*5.6</f>
        <v>33.599999999999994</v>
      </c>
      <c r="J146" s="461" t="s">
        <v>96</v>
      </c>
      <c r="K146" s="460">
        <f t="shared" si="17"/>
        <v>33.599999999999994</v>
      </c>
      <c r="L146" s="462">
        <v>0.99199999999999999</v>
      </c>
      <c r="M146" s="463">
        <v>189000</v>
      </c>
      <c r="N146" s="464">
        <v>0.6</v>
      </c>
      <c r="O146" s="463">
        <f t="shared" si="20"/>
        <v>189000</v>
      </c>
      <c r="P146" s="459">
        <f t="shared" si="18"/>
        <v>3780000</v>
      </c>
      <c r="Q146" s="463" t="s">
        <v>97</v>
      </c>
      <c r="R146" s="463" t="s">
        <v>97</v>
      </c>
      <c r="S146" s="459">
        <f t="shared" si="19"/>
        <v>3780000</v>
      </c>
      <c r="T146" s="460" t="s">
        <v>205</v>
      </c>
    </row>
    <row r="147" spans="1:20" s="19" customFormat="1" ht="36" customHeight="1" x14ac:dyDescent="0.3">
      <c r="A147" s="313"/>
      <c r="B147" s="166" t="s">
        <v>55</v>
      </c>
      <c r="C147" s="166"/>
      <c r="D147" s="159"/>
      <c r="E147" s="159"/>
      <c r="F147" s="167"/>
      <c r="G147" s="167"/>
      <c r="H147" s="167"/>
      <c r="I147" s="168"/>
      <c r="J147" s="167"/>
      <c r="K147" s="167"/>
      <c r="L147" s="167"/>
      <c r="M147" s="167"/>
      <c r="N147" s="167"/>
      <c r="O147" s="167"/>
      <c r="P147" s="167"/>
      <c r="Q147" s="167"/>
      <c r="R147" s="167"/>
      <c r="S147" s="45">
        <f>SUM(S125:S146)</f>
        <v>116022000</v>
      </c>
      <c r="T147" s="167"/>
    </row>
    <row r="148" spans="1:20" s="19" customFormat="1" ht="36" customHeight="1" x14ac:dyDescent="0.3">
      <c r="A148" s="171" t="s">
        <v>131</v>
      </c>
      <c r="B148" s="172" t="s">
        <v>132</v>
      </c>
      <c r="C148" s="173"/>
      <c r="D148" s="466"/>
      <c r="E148" s="466"/>
      <c r="F148" s="466"/>
      <c r="G148" s="466"/>
      <c r="H148" s="466"/>
      <c r="I148" s="467"/>
      <c r="J148" s="466"/>
      <c r="K148" s="468"/>
      <c r="L148" s="468"/>
      <c r="M148" s="466"/>
      <c r="N148" s="468"/>
      <c r="O148" s="466"/>
      <c r="P148" s="469"/>
      <c r="Q148" s="466"/>
      <c r="R148" s="466"/>
      <c r="S148" s="470"/>
      <c r="T148" s="466"/>
    </row>
    <row r="149" spans="1:20" s="19" customFormat="1" ht="36" customHeight="1" x14ac:dyDescent="0.3">
      <c r="A149" s="171" t="s">
        <v>133</v>
      </c>
      <c r="B149" s="172" t="s">
        <v>134</v>
      </c>
      <c r="C149" s="172"/>
      <c r="D149" s="172"/>
      <c r="E149" s="172"/>
      <c r="F149" s="172"/>
      <c r="G149" s="172"/>
      <c r="H149" s="172"/>
      <c r="I149" s="312"/>
      <c r="J149" s="172"/>
      <c r="K149" s="172"/>
      <c r="L149" s="172"/>
      <c r="M149" s="172"/>
      <c r="N149" s="172"/>
      <c r="O149" s="172"/>
      <c r="P149" s="172"/>
      <c r="Q149" s="172"/>
      <c r="R149" s="172"/>
      <c r="S149" s="172"/>
      <c r="T149" s="172"/>
    </row>
    <row r="150" spans="1:20" s="19" customFormat="1" ht="36" customHeight="1" x14ac:dyDescent="0.3">
      <c r="A150" s="178" t="s">
        <v>135</v>
      </c>
      <c r="B150" s="756" t="s">
        <v>230</v>
      </c>
      <c r="C150" s="757"/>
      <c r="D150" s="757"/>
      <c r="E150" s="757"/>
      <c r="F150" s="757"/>
      <c r="G150" s="757"/>
      <c r="H150" s="757"/>
      <c r="I150" s="757"/>
      <c r="J150" s="757"/>
      <c r="K150" s="757"/>
      <c r="L150" s="757"/>
      <c r="M150" s="757"/>
      <c r="N150" s="757"/>
      <c r="O150" s="757"/>
      <c r="P150" s="757"/>
      <c r="Q150" s="757"/>
      <c r="R150" s="758"/>
      <c r="S150" s="29">
        <f>+S147+S119</f>
        <v>116309000</v>
      </c>
      <c r="T150" s="174" t="s">
        <v>137</v>
      </c>
    </row>
    <row r="151" spans="1:20" ht="25.5" customHeight="1" x14ac:dyDescent="0.3">
      <c r="A151" s="474"/>
      <c r="B151" s="917" t="s">
        <v>231</v>
      </c>
      <c r="C151" s="773"/>
      <c r="D151" s="773"/>
      <c r="E151" s="773"/>
      <c r="F151" s="773"/>
      <c r="G151" s="773"/>
      <c r="H151" s="773"/>
      <c r="I151" s="773"/>
      <c r="J151" s="773"/>
      <c r="K151" s="773"/>
      <c r="L151" s="773"/>
      <c r="M151" s="773"/>
      <c r="N151" s="773"/>
      <c r="O151" s="773"/>
      <c r="P151" s="773"/>
      <c r="Q151" s="773"/>
      <c r="R151" s="773"/>
      <c r="S151" s="773"/>
      <c r="T151" s="474"/>
    </row>
    <row r="152" spans="1:20" ht="18.75" customHeight="1" x14ac:dyDescent="0.3">
      <c r="A152" s="474"/>
      <c r="B152" s="772" t="s">
        <v>1</v>
      </c>
      <c r="C152" s="773"/>
      <c r="D152" s="773"/>
      <c r="E152" s="773"/>
      <c r="F152" s="773"/>
      <c r="G152" s="773"/>
      <c r="H152" s="773"/>
      <c r="I152" s="773"/>
      <c r="J152" s="773"/>
      <c r="K152" s="773"/>
      <c r="L152" s="773"/>
      <c r="M152" s="773"/>
      <c r="N152" s="773"/>
      <c r="O152" s="773"/>
      <c r="P152" s="773"/>
      <c r="Q152" s="773"/>
      <c r="R152" s="773"/>
      <c r="S152" s="773"/>
      <c r="T152" s="474"/>
    </row>
    <row r="153" spans="1:20" ht="18.75" customHeight="1" x14ac:dyDescent="0.3">
      <c r="A153" s="474"/>
      <c r="B153" s="772" t="s">
        <v>2</v>
      </c>
      <c r="C153" s="773"/>
      <c r="D153" s="773"/>
      <c r="E153" s="773"/>
      <c r="F153" s="773"/>
      <c r="G153" s="773"/>
      <c r="H153" s="773"/>
      <c r="I153" s="773"/>
      <c r="J153" s="773"/>
      <c r="K153" s="773"/>
      <c r="L153" s="773"/>
      <c r="M153" s="773"/>
      <c r="N153" s="773"/>
      <c r="O153" s="773"/>
      <c r="P153" s="773"/>
      <c r="Q153" s="773"/>
      <c r="R153" s="773"/>
      <c r="S153" s="773"/>
      <c r="T153" s="474"/>
    </row>
    <row r="154" spans="1:20" ht="18.75" customHeight="1" x14ac:dyDescent="0.3">
      <c r="A154" s="475"/>
      <c r="B154" s="809" t="str">
        <f>B103</f>
        <v>(Kèm theo Quyết định số     /QĐ-UBND ngày     tháng     năm 2026 của Ủy ban nhân dân xã Thuận An)</v>
      </c>
      <c r="C154" s="773"/>
      <c r="D154" s="773"/>
      <c r="E154" s="773"/>
      <c r="F154" s="773"/>
      <c r="G154" s="773"/>
      <c r="H154" s="773"/>
      <c r="I154" s="773"/>
      <c r="J154" s="773"/>
      <c r="K154" s="773"/>
      <c r="L154" s="773"/>
      <c r="M154" s="773"/>
      <c r="N154" s="773"/>
      <c r="O154" s="773"/>
      <c r="P154" s="773"/>
      <c r="Q154" s="773"/>
      <c r="R154" s="773"/>
      <c r="S154" s="773"/>
      <c r="T154" s="475"/>
    </row>
    <row r="155" spans="1:20" s="19" customFormat="1" ht="18.75" customHeight="1" thickBot="1" x14ac:dyDescent="0.35">
      <c r="A155" s="272" t="s">
        <v>3</v>
      </c>
      <c r="B155" s="273" t="s">
        <v>4</v>
      </c>
      <c r="C155" s="233"/>
      <c r="D155" s="233"/>
      <c r="E155" s="233"/>
      <c r="F155" s="233"/>
      <c r="G155" s="233"/>
      <c r="H155" s="233"/>
      <c r="I155" s="234"/>
      <c r="J155" s="233"/>
      <c r="K155" s="235"/>
      <c r="L155" s="235"/>
      <c r="M155" s="233"/>
      <c r="N155" s="235"/>
      <c r="O155" s="233"/>
      <c r="P155" s="236"/>
      <c r="Q155" s="233"/>
      <c r="R155" s="233"/>
      <c r="S155" s="237"/>
      <c r="T155" s="233"/>
    </row>
    <row r="156" spans="1:20" s="19" customFormat="1" ht="56.25" customHeight="1" x14ac:dyDescent="0.3">
      <c r="A156" s="846" t="s">
        <v>5</v>
      </c>
      <c r="B156" s="778" t="s">
        <v>6</v>
      </c>
      <c r="C156" s="778" t="s">
        <v>7</v>
      </c>
      <c r="D156" s="778" t="s">
        <v>959</v>
      </c>
      <c r="E156" s="777"/>
      <c r="F156" s="777"/>
      <c r="G156" s="778" t="s">
        <v>960</v>
      </c>
      <c r="H156" s="777"/>
      <c r="I156" s="777"/>
      <c r="J156" s="778" t="s">
        <v>961</v>
      </c>
      <c r="K156" s="777"/>
      <c r="L156" s="777"/>
      <c r="M156" s="779" t="s">
        <v>8</v>
      </c>
      <c r="N156" s="779" t="s">
        <v>9</v>
      </c>
      <c r="O156" s="779" t="s">
        <v>10</v>
      </c>
      <c r="P156" s="780" t="s">
        <v>11</v>
      </c>
      <c r="Q156" s="780" t="s">
        <v>12</v>
      </c>
      <c r="R156" s="780" t="s">
        <v>13</v>
      </c>
      <c r="S156" s="778" t="s">
        <v>14</v>
      </c>
      <c r="T156" s="778" t="s">
        <v>15</v>
      </c>
    </row>
    <row r="157" spans="1:20" s="19" customFormat="1" ht="43.5" customHeight="1" x14ac:dyDescent="0.3">
      <c r="A157" s="913"/>
      <c r="B157" s="777"/>
      <c r="C157" s="777"/>
      <c r="D157" s="778" t="s">
        <v>16</v>
      </c>
      <c r="E157" s="778" t="s">
        <v>17</v>
      </c>
      <c r="F157" s="777"/>
      <c r="G157" s="778" t="s">
        <v>16</v>
      </c>
      <c r="H157" s="778" t="s">
        <v>17</v>
      </c>
      <c r="I157" s="777"/>
      <c r="J157" s="776" t="s">
        <v>18</v>
      </c>
      <c r="K157" s="778" t="s">
        <v>17</v>
      </c>
      <c r="L157" s="777"/>
      <c r="M157" s="777"/>
      <c r="N157" s="777"/>
      <c r="O157" s="777"/>
      <c r="P157" s="777"/>
      <c r="Q157" s="777"/>
      <c r="R157" s="777"/>
      <c r="S157" s="777"/>
      <c r="T157" s="777"/>
    </row>
    <row r="158" spans="1:20" s="19" customFormat="1" ht="60" customHeight="1" x14ac:dyDescent="0.3">
      <c r="A158" s="914"/>
      <c r="B158" s="777"/>
      <c r="C158" s="777"/>
      <c r="D158" s="777"/>
      <c r="E158" s="415" t="s">
        <v>962</v>
      </c>
      <c r="F158" s="415" t="s">
        <v>963</v>
      </c>
      <c r="G158" s="777"/>
      <c r="H158" s="415" t="s">
        <v>962</v>
      </c>
      <c r="I158" s="189" t="s">
        <v>963</v>
      </c>
      <c r="J158" s="777"/>
      <c r="K158" s="415" t="s">
        <v>962</v>
      </c>
      <c r="L158" s="415" t="s">
        <v>963</v>
      </c>
      <c r="M158" s="777"/>
      <c r="N158" s="777"/>
      <c r="O158" s="777"/>
      <c r="P158" s="777"/>
      <c r="Q158" s="777"/>
      <c r="R158" s="777"/>
      <c r="S158" s="777"/>
      <c r="T158" s="777"/>
    </row>
    <row r="159" spans="1:20" s="19" customFormat="1" ht="122.25" customHeight="1" x14ac:dyDescent="0.3">
      <c r="A159" s="187" t="s">
        <v>107</v>
      </c>
      <c r="B159" s="190" t="s">
        <v>232</v>
      </c>
      <c r="C159" s="424" t="s">
        <v>233</v>
      </c>
      <c r="D159" s="191">
        <f>E159+F159</f>
        <v>1046.9000000000001</v>
      </c>
      <c r="E159" s="191">
        <v>200</v>
      </c>
      <c r="F159" s="191">
        <f>I159</f>
        <v>846.90000000000009</v>
      </c>
      <c r="G159" s="191">
        <f>100+284.3+100+562.6</f>
        <v>1046.9000000000001</v>
      </c>
      <c r="H159" s="191">
        <v>200</v>
      </c>
      <c r="I159" s="192">
        <f>G159-H159</f>
        <v>846.90000000000009</v>
      </c>
      <c r="J159" s="191">
        <v>168.3</v>
      </c>
      <c r="K159" s="191">
        <v>0</v>
      </c>
      <c r="L159" s="191">
        <f>+J159-K159</f>
        <v>168.3</v>
      </c>
      <c r="M159" s="193">
        <v>0</v>
      </c>
      <c r="N159" s="314">
        <f>(L159/F159)*100%</f>
        <v>0.19872476089266736</v>
      </c>
      <c r="O159" s="248" t="s">
        <v>21</v>
      </c>
      <c r="P159" s="195" t="s">
        <v>234</v>
      </c>
      <c r="Q159" s="195" t="s">
        <v>23</v>
      </c>
      <c r="R159" s="248" t="s">
        <v>24</v>
      </c>
      <c r="S159" s="248" t="s">
        <v>25</v>
      </c>
      <c r="T159" s="248" t="s">
        <v>1025</v>
      </c>
    </row>
    <row r="160" spans="1:20" s="19" customFormat="1" ht="36" customHeight="1" x14ac:dyDescent="0.3">
      <c r="A160" s="272" t="s">
        <v>27</v>
      </c>
      <c r="B160" s="300" t="s">
        <v>777</v>
      </c>
      <c r="C160" s="301"/>
      <c r="D160" s="301"/>
      <c r="E160" s="301"/>
      <c r="F160" s="301"/>
      <c r="G160" s="301"/>
      <c r="H160" s="301"/>
      <c r="I160" s="302"/>
      <c r="J160" s="301"/>
      <c r="K160" s="303"/>
      <c r="L160" s="303"/>
      <c r="M160" s="301"/>
      <c r="N160" s="303"/>
      <c r="O160" s="301"/>
      <c r="P160" s="304"/>
      <c r="Q160" s="301"/>
      <c r="R160" s="301"/>
      <c r="S160" s="301"/>
      <c r="T160" s="301"/>
    </row>
    <row r="161" spans="1:20" s="19" customFormat="1" ht="55.5" customHeight="1" x14ac:dyDescent="0.3">
      <c r="A161" s="889" t="s">
        <v>5</v>
      </c>
      <c r="B161" s="761" t="s">
        <v>663</v>
      </c>
      <c r="C161" s="761" t="s">
        <v>664</v>
      </c>
      <c r="D161" s="761" t="s">
        <v>665</v>
      </c>
      <c r="E161" s="761"/>
      <c r="F161" s="761"/>
      <c r="G161" s="761"/>
      <c r="H161" s="761" t="s">
        <v>666</v>
      </c>
      <c r="I161" s="760" t="s">
        <v>667</v>
      </c>
      <c r="J161" s="760"/>
      <c r="K161" s="760"/>
      <c r="L161" s="762" t="s">
        <v>668</v>
      </c>
      <c r="M161" s="762"/>
      <c r="N161" s="761" t="s">
        <v>43</v>
      </c>
      <c r="O161" s="761" t="s">
        <v>669</v>
      </c>
      <c r="P161" s="763" t="s">
        <v>670</v>
      </c>
      <c r="Q161" s="763" t="s">
        <v>42</v>
      </c>
      <c r="R161" s="761" t="s">
        <v>671</v>
      </c>
      <c r="S161" s="761" t="s">
        <v>44</v>
      </c>
      <c r="T161" s="761" t="s">
        <v>15</v>
      </c>
    </row>
    <row r="162" spans="1:20" s="19" customFormat="1" ht="73.5" customHeight="1" x14ac:dyDescent="0.3">
      <c r="A162" s="890"/>
      <c r="B162" s="761"/>
      <c r="C162" s="761"/>
      <c r="D162" s="407" t="s">
        <v>672</v>
      </c>
      <c r="E162" s="407" t="s">
        <v>673</v>
      </c>
      <c r="F162" s="407" t="s">
        <v>759</v>
      </c>
      <c r="G162" s="407" t="s">
        <v>17</v>
      </c>
      <c r="H162" s="761"/>
      <c r="I162" s="420" t="s">
        <v>674</v>
      </c>
      <c r="J162" s="418" t="s">
        <v>675</v>
      </c>
      <c r="K162" s="419" t="s">
        <v>676</v>
      </c>
      <c r="L162" s="419" t="s">
        <v>677</v>
      </c>
      <c r="M162" s="134" t="s">
        <v>678</v>
      </c>
      <c r="N162" s="761"/>
      <c r="O162" s="761"/>
      <c r="P162" s="763"/>
      <c r="Q162" s="763"/>
      <c r="R162" s="761"/>
      <c r="S162" s="761"/>
      <c r="T162" s="761"/>
    </row>
    <row r="163" spans="1:20" s="19" customFormat="1" ht="103.5" customHeight="1" x14ac:dyDescent="0.3">
      <c r="A163" s="315" t="s">
        <v>19</v>
      </c>
      <c r="B163" s="227" t="s">
        <v>679</v>
      </c>
      <c r="C163" s="228" t="s">
        <v>770</v>
      </c>
      <c r="D163" s="418" t="s">
        <v>122</v>
      </c>
      <c r="E163" s="418" t="s">
        <v>757</v>
      </c>
      <c r="F163" s="419">
        <v>71.5</v>
      </c>
      <c r="G163" s="420" t="s">
        <v>681</v>
      </c>
      <c r="H163" s="420" t="s">
        <v>771</v>
      </c>
      <c r="I163" s="420">
        <v>43.5</v>
      </c>
      <c r="J163" s="419">
        <v>0</v>
      </c>
      <c r="K163" s="419">
        <f>I163+J163</f>
        <v>43.5</v>
      </c>
      <c r="L163" s="419">
        <v>28</v>
      </c>
      <c r="M163" s="134" t="s">
        <v>734</v>
      </c>
      <c r="N163" s="260">
        <v>1</v>
      </c>
      <c r="O163" s="423">
        <v>1</v>
      </c>
      <c r="P163" s="231">
        <v>867000</v>
      </c>
      <c r="Q163" s="231">
        <f>+ROUND((P163*N163*K163),-3)</f>
        <v>37715000</v>
      </c>
      <c r="R163" s="231">
        <f>-ROUND((38000*J163*0.5%),-3)</f>
        <v>0</v>
      </c>
      <c r="S163" s="408">
        <f>+Q163+R163</f>
        <v>37715000</v>
      </c>
      <c r="T163" s="764" t="s">
        <v>833</v>
      </c>
    </row>
    <row r="164" spans="1:20" s="19" customFormat="1" ht="103.5" customHeight="1" x14ac:dyDescent="0.3">
      <c r="A164" s="315" t="s">
        <v>98</v>
      </c>
      <c r="B164" s="227" t="s">
        <v>679</v>
      </c>
      <c r="C164" s="228" t="s">
        <v>772</v>
      </c>
      <c r="D164" s="418" t="s">
        <v>125</v>
      </c>
      <c r="E164" s="418" t="s">
        <v>757</v>
      </c>
      <c r="F164" s="419">
        <v>96.8</v>
      </c>
      <c r="G164" s="420" t="s">
        <v>681</v>
      </c>
      <c r="H164" s="420" t="s">
        <v>773</v>
      </c>
      <c r="I164" s="420">
        <v>63.5</v>
      </c>
      <c r="J164" s="419">
        <v>0</v>
      </c>
      <c r="K164" s="419">
        <f>I164+J164</f>
        <v>63.5</v>
      </c>
      <c r="L164" s="419">
        <v>33.299999999999997</v>
      </c>
      <c r="M164" s="134" t="s">
        <v>734</v>
      </c>
      <c r="N164" s="260">
        <v>1</v>
      </c>
      <c r="O164" s="423">
        <v>1</v>
      </c>
      <c r="P164" s="231">
        <v>867000</v>
      </c>
      <c r="Q164" s="231">
        <f>+ROUND((P164*N164*K164),-3)</f>
        <v>55055000</v>
      </c>
      <c r="R164" s="231">
        <f>-ROUND((38000*J164*0.5%),-3)</f>
        <v>0</v>
      </c>
      <c r="S164" s="408">
        <f>+Q164+R164</f>
        <v>55055000</v>
      </c>
      <c r="T164" s="764"/>
    </row>
    <row r="165" spans="1:20" s="19" customFormat="1" ht="36" customHeight="1" x14ac:dyDescent="0.3">
      <c r="A165" s="272" t="s">
        <v>28</v>
      </c>
      <c r="B165" s="273" t="s">
        <v>141</v>
      </c>
      <c r="C165" s="233"/>
      <c r="D165" s="233"/>
      <c r="E165" s="233"/>
      <c r="F165" s="233"/>
      <c r="G165" s="233"/>
      <c r="H165" s="233"/>
      <c r="I165" s="234"/>
      <c r="J165" s="233"/>
      <c r="K165" s="235"/>
      <c r="L165" s="235"/>
      <c r="M165" s="233"/>
      <c r="N165" s="235"/>
      <c r="O165" s="233"/>
      <c r="P165" s="236"/>
      <c r="Q165" s="237"/>
      <c r="R165" s="237"/>
      <c r="S165" s="238">
        <f>S191</f>
        <v>9420000</v>
      </c>
      <c r="T165" s="233"/>
    </row>
    <row r="166" spans="1:20" s="19" customFormat="1" ht="83.25" customHeight="1" x14ac:dyDescent="0.3">
      <c r="A166" s="800" t="s">
        <v>5</v>
      </c>
      <c r="B166" s="802" t="s">
        <v>30</v>
      </c>
      <c r="C166" s="802" t="s">
        <v>31</v>
      </c>
      <c r="D166" s="802" t="s">
        <v>32</v>
      </c>
      <c r="E166" s="803" t="s">
        <v>33</v>
      </c>
      <c r="F166" s="758"/>
      <c r="G166" s="802" t="s">
        <v>34</v>
      </c>
      <c r="H166" s="802" t="s">
        <v>35</v>
      </c>
      <c r="I166" s="804" t="s">
        <v>36</v>
      </c>
      <c r="J166" s="758"/>
      <c r="K166" s="769" t="s">
        <v>37</v>
      </c>
      <c r="L166" s="769" t="s">
        <v>38</v>
      </c>
      <c r="M166" s="805" t="s">
        <v>39</v>
      </c>
      <c r="N166" s="802" t="s">
        <v>839</v>
      </c>
      <c r="O166" s="802" t="s">
        <v>967</v>
      </c>
      <c r="P166" s="806" t="s">
        <v>41</v>
      </c>
      <c r="Q166" s="806" t="s">
        <v>42</v>
      </c>
      <c r="R166" s="802" t="s">
        <v>43</v>
      </c>
      <c r="S166" s="802" t="s">
        <v>44</v>
      </c>
      <c r="T166" s="807" t="s">
        <v>15</v>
      </c>
    </row>
    <row r="167" spans="1:20" s="19" customFormat="1" ht="69" customHeight="1" x14ac:dyDescent="0.3">
      <c r="A167" s="801"/>
      <c r="B167" s="766"/>
      <c r="C167" s="766"/>
      <c r="D167" s="766"/>
      <c r="E167" s="167" t="s">
        <v>45</v>
      </c>
      <c r="F167" s="167" t="s">
        <v>46</v>
      </c>
      <c r="G167" s="766"/>
      <c r="H167" s="766"/>
      <c r="I167" s="140" t="s">
        <v>47</v>
      </c>
      <c r="J167" s="143" t="s">
        <v>48</v>
      </c>
      <c r="K167" s="766"/>
      <c r="L167" s="766"/>
      <c r="M167" s="766"/>
      <c r="N167" s="766"/>
      <c r="O167" s="766"/>
      <c r="P167" s="766"/>
      <c r="Q167" s="766"/>
      <c r="R167" s="766"/>
      <c r="S167" s="766"/>
      <c r="T167" s="808"/>
    </row>
    <row r="168" spans="1:20" s="19" customFormat="1" ht="39" customHeight="1" x14ac:dyDescent="0.3">
      <c r="A168" s="239" t="s">
        <v>142</v>
      </c>
      <c r="B168" s="803" t="s">
        <v>235</v>
      </c>
      <c r="C168" s="758"/>
      <c r="D168" s="167"/>
      <c r="E168" s="167"/>
      <c r="F168" s="167"/>
      <c r="G168" s="167"/>
      <c r="H168" s="167"/>
      <c r="I168" s="140"/>
      <c r="J168" s="143"/>
      <c r="K168" s="159"/>
      <c r="L168" s="159"/>
      <c r="M168" s="241"/>
      <c r="N168" s="167"/>
      <c r="O168" s="167"/>
      <c r="P168" s="45"/>
      <c r="Q168" s="45"/>
      <c r="R168" s="167"/>
      <c r="S168" s="167"/>
      <c r="T168" s="317"/>
    </row>
    <row r="169" spans="1:20" s="19" customFormat="1" ht="18.75" x14ac:dyDescent="0.3">
      <c r="A169" s="147"/>
      <c r="B169" s="146" t="s">
        <v>835</v>
      </c>
      <c r="C169" s="148"/>
      <c r="D169" s="147"/>
      <c r="E169" s="147"/>
      <c r="F169" s="147"/>
      <c r="G169" s="149"/>
      <c r="H169" s="149"/>
      <c r="I169" s="150"/>
      <c r="J169" s="149"/>
      <c r="K169" s="147"/>
      <c r="L169" s="151"/>
      <c r="M169" s="152"/>
      <c r="N169" s="152"/>
      <c r="O169" s="320">
        <f>SUM(O170)</f>
        <v>36.003600360036003</v>
      </c>
      <c r="P169" s="151"/>
      <c r="Q169" s="154"/>
      <c r="R169" s="154"/>
      <c r="S169" s="154">
        <f>SUM(S170)</f>
        <v>336000</v>
      </c>
      <c r="T169" s="147"/>
    </row>
    <row r="170" spans="1:20" s="19" customFormat="1" ht="42" customHeight="1" x14ac:dyDescent="0.3">
      <c r="A170" s="310" t="s">
        <v>19</v>
      </c>
      <c r="B170" s="318" t="s">
        <v>236</v>
      </c>
      <c r="C170" s="311" t="s">
        <v>237</v>
      </c>
      <c r="D170" s="52" t="s">
        <v>51</v>
      </c>
      <c r="E170" s="138" t="s">
        <v>27</v>
      </c>
      <c r="F170" s="139" t="s">
        <v>52</v>
      </c>
      <c r="G170" s="138" t="s">
        <v>146</v>
      </c>
      <c r="H170" s="138" t="s">
        <v>21</v>
      </c>
      <c r="I170" s="140" t="s">
        <v>238</v>
      </c>
      <c r="J170" s="141">
        <f>2026-I170</f>
        <v>6</v>
      </c>
      <c r="K170" s="141">
        <v>4</v>
      </c>
      <c r="L170" s="141">
        <f>K170</f>
        <v>4</v>
      </c>
      <c r="M170" s="52" t="s">
        <v>54</v>
      </c>
      <c r="N170" s="143">
        <f>10000/1111</f>
        <v>9.0009000900090008</v>
      </c>
      <c r="O170" s="143">
        <f>N170*L170</f>
        <v>36.003600360036003</v>
      </c>
      <c r="P170" s="144">
        <v>84000</v>
      </c>
      <c r="Q170" s="144">
        <f>+ROUND((L170*P170),-3)</f>
        <v>336000</v>
      </c>
      <c r="R170" s="145">
        <v>1</v>
      </c>
      <c r="S170" s="144">
        <f>+Q170*R170</f>
        <v>336000</v>
      </c>
      <c r="T170" s="52" t="s">
        <v>394</v>
      </c>
    </row>
    <row r="171" spans="1:20" s="19" customFormat="1" ht="40.5" customHeight="1" x14ac:dyDescent="0.3">
      <c r="A171" s="147" t="s">
        <v>836</v>
      </c>
      <c r="B171" s="287" t="s">
        <v>837</v>
      </c>
      <c r="C171" s="288"/>
      <c r="D171" s="289"/>
      <c r="E171" s="289"/>
      <c r="F171" s="289"/>
      <c r="G171" s="290"/>
      <c r="H171" s="290"/>
      <c r="I171" s="291"/>
      <c r="J171" s="290"/>
      <c r="K171" s="292"/>
      <c r="L171" s="293"/>
      <c r="M171" s="293"/>
      <c r="N171" s="293"/>
      <c r="O171" s="294"/>
      <c r="P171" s="293"/>
      <c r="Q171" s="295"/>
      <c r="R171" s="295"/>
      <c r="S171" s="154">
        <f>S169*50%</f>
        <v>168000</v>
      </c>
      <c r="T171" s="289"/>
    </row>
    <row r="172" spans="1:20" s="19" customFormat="1" ht="18.75" x14ac:dyDescent="0.3">
      <c r="A172" s="289"/>
      <c r="B172" s="146" t="s">
        <v>838</v>
      </c>
      <c r="C172" s="296"/>
      <c r="D172" s="289"/>
      <c r="E172" s="289"/>
      <c r="F172" s="289"/>
      <c r="G172" s="290"/>
      <c r="H172" s="290"/>
      <c r="I172" s="291"/>
      <c r="J172" s="290"/>
      <c r="K172" s="292"/>
      <c r="L172" s="293"/>
      <c r="M172" s="293"/>
      <c r="N172" s="293"/>
      <c r="O172" s="320"/>
      <c r="P172" s="293"/>
      <c r="Q172" s="295"/>
      <c r="R172" s="295"/>
      <c r="S172" s="154">
        <f>SUM(S173:S174)</f>
        <v>924000</v>
      </c>
      <c r="T172" s="289"/>
    </row>
    <row r="173" spans="1:20" s="19" customFormat="1" ht="42" customHeight="1" x14ac:dyDescent="0.3">
      <c r="A173" s="310" t="s">
        <v>98</v>
      </c>
      <c r="B173" s="318" t="s">
        <v>236</v>
      </c>
      <c r="C173" s="311" t="s">
        <v>237</v>
      </c>
      <c r="D173" s="52" t="s">
        <v>51</v>
      </c>
      <c r="E173" s="138" t="s">
        <v>27</v>
      </c>
      <c r="F173" s="139" t="s">
        <v>52</v>
      </c>
      <c r="G173" s="138" t="s">
        <v>146</v>
      </c>
      <c r="H173" s="138" t="s">
        <v>21</v>
      </c>
      <c r="I173" s="140" t="s">
        <v>238</v>
      </c>
      <c r="J173" s="141">
        <f>2026-I173</f>
        <v>6</v>
      </c>
      <c r="K173" s="141">
        <v>6</v>
      </c>
      <c r="L173" s="141">
        <f>K173</f>
        <v>6</v>
      </c>
      <c r="M173" s="52" t="s">
        <v>54</v>
      </c>
      <c r="N173" s="143"/>
      <c r="O173" s="143"/>
      <c r="P173" s="144">
        <v>84000</v>
      </c>
      <c r="Q173" s="144">
        <f>+ROUND((L173*P173),-3)</f>
        <v>504000</v>
      </c>
      <c r="R173" s="145">
        <v>1</v>
      </c>
      <c r="S173" s="144">
        <f>+Q173*R173</f>
        <v>504000</v>
      </c>
      <c r="T173" s="52" t="s">
        <v>394</v>
      </c>
    </row>
    <row r="174" spans="1:20" s="19" customFormat="1" ht="42" customHeight="1" x14ac:dyDescent="0.3">
      <c r="A174" s="310" t="s">
        <v>104</v>
      </c>
      <c r="B174" s="318" t="s">
        <v>239</v>
      </c>
      <c r="C174" s="311"/>
      <c r="D174" s="52"/>
      <c r="E174" s="138" t="s">
        <v>27</v>
      </c>
      <c r="F174" s="139" t="s">
        <v>52</v>
      </c>
      <c r="G174" s="138" t="s">
        <v>146</v>
      </c>
      <c r="H174" s="138" t="s">
        <v>21</v>
      </c>
      <c r="I174" s="140" t="s">
        <v>240</v>
      </c>
      <c r="J174" s="141"/>
      <c r="K174" s="141">
        <v>70</v>
      </c>
      <c r="L174" s="141">
        <f>K174</f>
        <v>70</v>
      </c>
      <c r="M174" s="52" t="s">
        <v>241</v>
      </c>
      <c r="N174" s="143"/>
      <c r="O174" s="143"/>
      <c r="P174" s="144">
        <v>6000</v>
      </c>
      <c r="Q174" s="144">
        <f>+ROUND((L174*P174),-3)</f>
        <v>420000</v>
      </c>
      <c r="R174" s="145">
        <v>1</v>
      </c>
      <c r="S174" s="144">
        <f>+Q174*R174</f>
        <v>420000</v>
      </c>
      <c r="T174" s="52" t="s">
        <v>394</v>
      </c>
    </row>
    <row r="175" spans="1:20" s="19" customFormat="1" ht="39" customHeight="1" x14ac:dyDescent="0.3">
      <c r="A175" s="239" t="s">
        <v>142</v>
      </c>
      <c r="B175" s="803" t="s">
        <v>242</v>
      </c>
      <c r="C175" s="758"/>
      <c r="D175" s="52"/>
      <c r="E175" s="138"/>
      <c r="F175" s="139"/>
      <c r="G175" s="138"/>
      <c r="H175" s="138"/>
      <c r="I175" s="140"/>
      <c r="J175" s="141"/>
      <c r="K175" s="141"/>
      <c r="L175" s="141"/>
      <c r="M175" s="52"/>
      <c r="N175" s="143"/>
      <c r="O175" s="143"/>
      <c r="P175" s="144"/>
      <c r="Q175" s="144"/>
      <c r="R175" s="145"/>
      <c r="S175" s="144"/>
      <c r="T175" s="52"/>
    </row>
    <row r="176" spans="1:20" s="19" customFormat="1" ht="18.75" x14ac:dyDescent="0.3">
      <c r="A176" s="147"/>
      <c r="B176" s="146" t="s">
        <v>835</v>
      </c>
      <c r="C176" s="148"/>
      <c r="D176" s="147"/>
      <c r="E176" s="147"/>
      <c r="F176" s="147"/>
      <c r="G176" s="149"/>
      <c r="H176" s="149"/>
      <c r="I176" s="150"/>
      <c r="J176" s="149"/>
      <c r="K176" s="147"/>
      <c r="L176" s="151"/>
      <c r="M176" s="152"/>
      <c r="N176" s="152"/>
      <c r="O176" s="320">
        <f>SUM(O177:O178)</f>
        <v>62.5</v>
      </c>
      <c r="P176" s="151"/>
      <c r="Q176" s="154"/>
      <c r="R176" s="154"/>
      <c r="S176" s="154">
        <f>SUM(S177:S178)</f>
        <v>5944000</v>
      </c>
      <c r="T176" s="147"/>
    </row>
    <row r="177" spans="1:20" s="19" customFormat="1" ht="42" customHeight="1" x14ac:dyDescent="0.3">
      <c r="A177" s="136" t="s">
        <v>19</v>
      </c>
      <c r="B177" s="321" t="s">
        <v>246</v>
      </c>
      <c r="C177" s="138" t="s">
        <v>247</v>
      </c>
      <c r="D177" s="52" t="s">
        <v>51</v>
      </c>
      <c r="E177" s="138" t="s">
        <v>27</v>
      </c>
      <c r="F177" s="139" t="s">
        <v>152</v>
      </c>
      <c r="G177" s="138" t="s">
        <v>146</v>
      </c>
      <c r="H177" s="138" t="s">
        <v>21</v>
      </c>
      <c r="I177" s="140" t="s">
        <v>248</v>
      </c>
      <c r="J177" s="141">
        <f>2026+1-I177-3</f>
        <v>11</v>
      </c>
      <c r="K177" s="141">
        <v>8</v>
      </c>
      <c r="L177" s="141">
        <f>K177</f>
        <v>8</v>
      </c>
      <c r="M177" s="52" t="s">
        <v>54</v>
      </c>
      <c r="N177" s="143">
        <f>10000/1600</f>
        <v>6.25</v>
      </c>
      <c r="O177" s="143">
        <f>N177*L177</f>
        <v>50</v>
      </c>
      <c r="P177" s="144">
        <v>614880</v>
      </c>
      <c r="Q177" s="144">
        <f>+ROUND((L177*P177),-3)</f>
        <v>4919000</v>
      </c>
      <c r="R177" s="145">
        <v>1</v>
      </c>
      <c r="S177" s="144">
        <f>+ROUND((Q177*R177),-3)</f>
        <v>4919000</v>
      </c>
      <c r="T177" s="52" t="s">
        <v>394</v>
      </c>
    </row>
    <row r="178" spans="1:20" s="19" customFormat="1" ht="42" customHeight="1" x14ac:dyDescent="0.3">
      <c r="A178" s="136" t="s">
        <v>98</v>
      </c>
      <c r="B178" s="321" t="s">
        <v>246</v>
      </c>
      <c r="C178" s="138" t="s">
        <v>247</v>
      </c>
      <c r="D178" s="52" t="s">
        <v>58</v>
      </c>
      <c r="E178" s="138" t="s">
        <v>27</v>
      </c>
      <c r="F178" s="139" t="s">
        <v>152</v>
      </c>
      <c r="G178" s="138" t="s">
        <v>146</v>
      </c>
      <c r="H178" s="138" t="s">
        <v>21</v>
      </c>
      <c r="I178" s="140" t="s">
        <v>248</v>
      </c>
      <c r="J178" s="141">
        <f>2026+1-I178-3</f>
        <v>11</v>
      </c>
      <c r="K178" s="141">
        <v>2</v>
      </c>
      <c r="L178" s="141">
        <f t="shared" ref="L178" si="21">K178</f>
        <v>2</v>
      </c>
      <c r="M178" s="52" t="s">
        <v>54</v>
      </c>
      <c r="N178" s="143">
        <f>10000/1600</f>
        <v>6.25</v>
      </c>
      <c r="O178" s="143">
        <f>N178*L178</f>
        <v>12.5</v>
      </c>
      <c r="P178" s="144">
        <v>512400</v>
      </c>
      <c r="Q178" s="144">
        <f t="shared" ref="Q178" si="22">+ROUND((L178*P178),-3)</f>
        <v>1025000</v>
      </c>
      <c r="R178" s="145">
        <v>1</v>
      </c>
      <c r="S178" s="144">
        <f t="shared" ref="S178" si="23">+ROUND((Q178*R178),-3)</f>
        <v>1025000</v>
      </c>
      <c r="T178" s="52" t="s">
        <v>394</v>
      </c>
    </row>
    <row r="179" spans="1:20" s="19" customFormat="1" ht="40.5" customHeight="1" x14ac:dyDescent="0.3">
      <c r="A179" s="147" t="s">
        <v>836</v>
      </c>
      <c r="B179" s="287" t="s">
        <v>837</v>
      </c>
      <c r="C179" s="288"/>
      <c r="D179" s="289"/>
      <c r="E179" s="289"/>
      <c r="F179" s="289"/>
      <c r="G179" s="290"/>
      <c r="H179" s="290"/>
      <c r="I179" s="291"/>
      <c r="J179" s="290"/>
      <c r="K179" s="292"/>
      <c r="L179" s="293"/>
      <c r="M179" s="293"/>
      <c r="N179" s="293"/>
      <c r="O179" s="294"/>
      <c r="P179" s="293"/>
      <c r="Q179" s="295"/>
      <c r="R179" s="295"/>
      <c r="S179" s="154">
        <f>S176*50%</f>
        <v>2972000</v>
      </c>
      <c r="T179" s="289"/>
    </row>
    <row r="180" spans="1:20" s="19" customFormat="1" ht="18.75" x14ac:dyDescent="0.3">
      <c r="A180" s="289"/>
      <c r="B180" s="146" t="s">
        <v>838</v>
      </c>
      <c r="C180" s="296"/>
      <c r="D180" s="289"/>
      <c r="E180" s="289"/>
      <c r="F180" s="289"/>
      <c r="G180" s="290"/>
      <c r="H180" s="290"/>
      <c r="I180" s="291"/>
      <c r="J180" s="290"/>
      <c r="K180" s="292"/>
      <c r="L180" s="293"/>
      <c r="M180" s="293"/>
      <c r="N180" s="293"/>
      <c r="O180" s="320"/>
      <c r="P180" s="293"/>
      <c r="Q180" s="295"/>
      <c r="R180" s="295"/>
      <c r="S180" s="154">
        <f>SUM(S181:S190)</f>
        <v>8827000</v>
      </c>
      <c r="T180" s="289"/>
    </row>
    <row r="181" spans="1:20" s="19" customFormat="1" ht="42" customHeight="1" x14ac:dyDescent="0.3">
      <c r="A181" s="136" t="s">
        <v>104</v>
      </c>
      <c r="B181" s="321" t="s">
        <v>236</v>
      </c>
      <c r="C181" s="321" t="s">
        <v>237</v>
      </c>
      <c r="D181" s="52" t="s">
        <v>51</v>
      </c>
      <c r="E181" s="138" t="s">
        <v>27</v>
      </c>
      <c r="F181" s="139" t="s">
        <v>52</v>
      </c>
      <c r="G181" s="138" t="s">
        <v>146</v>
      </c>
      <c r="H181" s="138" t="s">
        <v>21</v>
      </c>
      <c r="I181" s="140" t="s">
        <v>243</v>
      </c>
      <c r="J181" s="141">
        <f>2026-I181</f>
        <v>16</v>
      </c>
      <c r="K181" s="141">
        <v>15</v>
      </c>
      <c r="L181" s="141">
        <f t="shared" ref="L181:L190" si="24">K181</f>
        <v>15</v>
      </c>
      <c r="M181" s="52" t="s">
        <v>54</v>
      </c>
      <c r="N181" s="143"/>
      <c r="O181" s="143"/>
      <c r="P181" s="144">
        <v>84000</v>
      </c>
      <c r="Q181" s="144">
        <f t="shared" ref="Q181:Q190" si="25">+ROUND((L181*P181),-3)</f>
        <v>1260000</v>
      </c>
      <c r="R181" s="145">
        <v>1</v>
      </c>
      <c r="S181" s="144">
        <f>+Q181*R181</f>
        <v>1260000</v>
      </c>
      <c r="T181" s="52" t="s">
        <v>394</v>
      </c>
    </row>
    <row r="182" spans="1:20" s="19" customFormat="1" ht="42" customHeight="1" x14ac:dyDescent="0.3">
      <c r="A182" s="136" t="s">
        <v>107</v>
      </c>
      <c r="B182" s="321" t="s">
        <v>244</v>
      </c>
      <c r="C182" s="321" t="s">
        <v>245</v>
      </c>
      <c r="D182" s="52" t="s">
        <v>51</v>
      </c>
      <c r="E182" s="138" t="s">
        <v>27</v>
      </c>
      <c r="F182" s="139" t="s">
        <v>150</v>
      </c>
      <c r="G182" s="138" t="s">
        <v>146</v>
      </c>
      <c r="H182" s="138" t="s">
        <v>21</v>
      </c>
      <c r="I182" s="140" t="s">
        <v>147</v>
      </c>
      <c r="J182" s="141">
        <f>2026-I182</f>
        <v>26</v>
      </c>
      <c r="K182" s="141">
        <v>5</v>
      </c>
      <c r="L182" s="141">
        <f t="shared" si="24"/>
        <v>5</v>
      </c>
      <c r="M182" s="52" t="s">
        <v>54</v>
      </c>
      <c r="N182" s="143"/>
      <c r="O182" s="143"/>
      <c r="P182" s="144">
        <v>234000</v>
      </c>
      <c r="Q182" s="144">
        <f t="shared" si="25"/>
        <v>1170000</v>
      </c>
      <c r="R182" s="145">
        <v>1</v>
      </c>
      <c r="S182" s="144">
        <f>+Q182*R182</f>
        <v>1170000</v>
      </c>
      <c r="T182" s="52" t="s">
        <v>394</v>
      </c>
    </row>
    <row r="183" spans="1:20" s="19" customFormat="1" ht="42" customHeight="1" x14ac:dyDescent="0.3">
      <c r="A183" s="136" t="s">
        <v>110</v>
      </c>
      <c r="B183" s="321" t="s">
        <v>246</v>
      </c>
      <c r="C183" s="138" t="s">
        <v>247</v>
      </c>
      <c r="D183" s="52" t="s">
        <v>58</v>
      </c>
      <c r="E183" s="138" t="s">
        <v>27</v>
      </c>
      <c r="F183" s="139" t="s">
        <v>152</v>
      </c>
      <c r="G183" s="138" t="s">
        <v>146</v>
      </c>
      <c r="H183" s="138" t="s">
        <v>21</v>
      </c>
      <c r="I183" s="140" t="s">
        <v>248</v>
      </c>
      <c r="J183" s="141">
        <f>2026+1-I183-3</f>
        <v>11</v>
      </c>
      <c r="K183" s="141">
        <v>1</v>
      </c>
      <c r="L183" s="141">
        <f t="shared" si="24"/>
        <v>1</v>
      </c>
      <c r="M183" s="52" t="s">
        <v>54</v>
      </c>
      <c r="N183" s="143"/>
      <c r="O183" s="143"/>
      <c r="P183" s="144">
        <v>512400</v>
      </c>
      <c r="Q183" s="144">
        <f t="shared" si="25"/>
        <v>512000</v>
      </c>
      <c r="R183" s="145">
        <v>1</v>
      </c>
      <c r="S183" s="144">
        <f t="shared" ref="S183:S190" si="26">+ROUND((Q183*R183),-3)</f>
        <v>512000</v>
      </c>
      <c r="T183" s="52" t="s">
        <v>394</v>
      </c>
    </row>
    <row r="184" spans="1:20" s="19" customFormat="1" ht="42" customHeight="1" x14ac:dyDescent="0.3">
      <c r="A184" s="136" t="s">
        <v>112</v>
      </c>
      <c r="B184" s="321" t="s">
        <v>249</v>
      </c>
      <c r="C184" s="321" t="s">
        <v>250</v>
      </c>
      <c r="D184" s="52" t="s">
        <v>51</v>
      </c>
      <c r="E184" s="138" t="s">
        <v>27</v>
      </c>
      <c r="F184" s="139" t="s">
        <v>154</v>
      </c>
      <c r="G184" s="138" t="s">
        <v>146</v>
      </c>
      <c r="H184" s="138" t="s">
        <v>21</v>
      </c>
      <c r="I184" s="140" t="s">
        <v>147</v>
      </c>
      <c r="J184" s="141">
        <f>2026+1-I184-5</f>
        <v>22</v>
      </c>
      <c r="K184" s="141">
        <v>7</v>
      </c>
      <c r="L184" s="141">
        <f t="shared" si="24"/>
        <v>7</v>
      </c>
      <c r="M184" s="52" t="s">
        <v>54</v>
      </c>
      <c r="N184" s="143"/>
      <c r="O184" s="143"/>
      <c r="P184" s="144">
        <v>212280</v>
      </c>
      <c r="Q184" s="144">
        <f t="shared" si="25"/>
        <v>1486000</v>
      </c>
      <c r="R184" s="145">
        <v>1</v>
      </c>
      <c r="S184" s="144">
        <f t="shared" si="26"/>
        <v>1486000</v>
      </c>
      <c r="T184" s="52" t="s">
        <v>394</v>
      </c>
    </row>
    <row r="185" spans="1:20" s="19" customFormat="1" ht="42" customHeight="1" x14ac:dyDescent="0.3">
      <c r="A185" s="136" t="s">
        <v>115</v>
      </c>
      <c r="B185" s="321" t="s">
        <v>251</v>
      </c>
      <c r="C185" s="321" t="s">
        <v>252</v>
      </c>
      <c r="D185" s="52"/>
      <c r="E185" s="138" t="s">
        <v>27</v>
      </c>
      <c r="F185" s="139" t="s">
        <v>157</v>
      </c>
      <c r="G185" s="138" t="s">
        <v>146</v>
      </c>
      <c r="H185" s="138" t="s">
        <v>21</v>
      </c>
      <c r="I185" s="140" t="s">
        <v>248</v>
      </c>
      <c r="J185" s="141"/>
      <c r="K185" s="141">
        <v>5</v>
      </c>
      <c r="L185" s="141">
        <f t="shared" si="24"/>
        <v>5</v>
      </c>
      <c r="M185" s="52" t="s">
        <v>54</v>
      </c>
      <c r="N185" s="143"/>
      <c r="O185" s="143"/>
      <c r="P185" s="144">
        <v>158870</v>
      </c>
      <c r="Q185" s="144">
        <f t="shared" si="25"/>
        <v>794000</v>
      </c>
      <c r="R185" s="145">
        <v>1</v>
      </c>
      <c r="S185" s="144">
        <f t="shared" si="26"/>
        <v>794000</v>
      </c>
      <c r="T185" s="52" t="s">
        <v>394</v>
      </c>
    </row>
    <row r="186" spans="1:20" s="19" customFormat="1" ht="42" customHeight="1" x14ac:dyDescent="0.3">
      <c r="A186" s="136" t="s">
        <v>119</v>
      </c>
      <c r="B186" s="321" t="s">
        <v>253</v>
      </c>
      <c r="C186" s="321" t="s">
        <v>254</v>
      </c>
      <c r="D186" s="52" t="s">
        <v>51</v>
      </c>
      <c r="E186" s="138" t="s">
        <v>27</v>
      </c>
      <c r="F186" s="139" t="s">
        <v>255</v>
      </c>
      <c r="G186" s="138" t="s">
        <v>146</v>
      </c>
      <c r="H186" s="138" t="s">
        <v>21</v>
      </c>
      <c r="I186" s="140" t="s">
        <v>256</v>
      </c>
      <c r="J186" s="141">
        <f>2026-I186</f>
        <v>8</v>
      </c>
      <c r="K186" s="141">
        <v>3</v>
      </c>
      <c r="L186" s="141">
        <f t="shared" si="24"/>
        <v>3</v>
      </c>
      <c r="M186" s="52" t="s">
        <v>54</v>
      </c>
      <c r="N186" s="143"/>
      <c r="O186" s="143"/>
      <c r="P186" s="144">
        <v>242280</v>
      </c>
      <c r="Q186" s="144">
        <f t="shared" si="25"/>
        <v>727000</v>
      </c>
      <c r="R186" s="145">
        <v>1</v>
      </c>
      <c r="S186" s="144">
        <f t="shared" si="26"/>
        <v>727000</v>
      </c>
      <c r="T186" s="52" t="s">
        <v>394</v>
      </c>
    </row>
    <row r="187" spans="1:20" s="19" customFormat="1" ht="42" customHeight="1" x14ac:dyDescent="0.3">
      <c r="A187" s="136" t="s">
        <v>122</v>
      </c>
      <c r="B187" s="321" t="s">
        <v>257</v>
      </c>
      <c r="C187" s="321" t="s">
        <v>247</v>
      </c>
      <c r="D187" s="52" t="s">
        <v>59</v>
      </c>
      <c r="E187" s="138" t="s">
        <v>27</v>
      </c>
      <c r="F187" s="139" t="s">
        <v>258</v>
      </c>
      <c r="G187" s="138" t="s">
        <v>146</v>
      </c>
      <c r="H187" s="138" t="s">
        <v>21</v>
      </c>
      <c r="I187" s="140" t="s">
        <v>248</v>
      </c>
      <c r="J187" s="141">
        <f>2026+1-I187-3</f>
        <v>11</v>
      </c>
      <c r="K187" s="141">
        <v>1</v>
      </c>
      <c r="L187" s="141">
        <f t="shared" si="24"/>
        <v>1</v>
      </c>
      <c r="M187" s="52" t="s">
        <v>54</v>
      </c>
      <c r="N187" s="143"/>
      <c r="O187" s="143"/>
      <c r="P187" s="144">
        <v>2042640</v>
      </c>
      <c r="Q187" s="144">
        <f t="shared" si="25"/>
        <v>2043000</v>
      </c>
      <c r="R187" s="145">
        <v>1</v>
      </c>
      <c r="S187" s="144">
        <f t="shared" si="26"/>
        <v>2043000</v>
      </c>
      <c r="T187" s="52" t="s">
        <v>394</v>
      </c>
    </row>
    <row r="188" spans="1:20" s="19" customFormat="1" ht="42" customHeight="1" x14ac:dyDescent="0.3">
      <c r="A188" s="136" t="s">
        <v>125</v>
      </c>
      <c r="B188" s="321" t="s">
        <v>49</v>
      </c>
      <c r="C188" s="138" t="s">
        <v>247</v>
      </c>
      <c r="D188" s="52" t="s">
        <v>51</v>
      </c>
      <c r="E188" s="138" t="s">
        <v>27</v>
      </c>
      <c r="F188" s="139" t="s">
        <v>259</v>
      </c>
      <c r="G188" s="138" t="s">
        <v>146</v>
      </c>
      <c r="H188" s="138" t="s">
        <v>21</v>
      </c>
      <c r="I188" s="140" t="s">
        <v>248</v>
      </c>
      <c r="J188" s="141">
        <f>2026+1-I188-3</f>
        <v>11</v>
      </c>
      <c r="K188" s="141">
        <v>1</v>
      </c>
      <c r="L188" s="141">
        <f t="shared" si="24"/>
        <v>1</v>
      </c>
      <c r="M188" s="52" t="s">
        <v>54</v>
      </c>
      <c r="N188" s="143"/>
      <c r="O188" s="143"/>
      <c r="P188" s="144">
        <v>641040</v>
      </c>
      <c r="Q188" s="144">
        <f t="shared" si="25"/>
        <v>641000</v>
      </c>
      <c r="R188" s="145">
        <v>1</v>
      </c>
      <c r="S188" s="144">
        <f t="shared" si="26"/>
        <v>641000</v>
      </c>
      <c r="T188" s="52" t="s">
        <v>394</v>
      </c>
    </row>
    <row r="189" spans="1:20" s="19" customFormat="1" ht="42" customHeight="1" x14ac:dyDescent="0.3">
      <c r="A189" s="136" t="s">
        <v>128</v>
      </c>
      <c r="B189" s="321" t="s">
        <v>260</v>
      </c>
      <c r="C189" s="138" t="s">
        <v>480</v>
      </c>
      <c r="D189" s="52"/>
      <c r="E189" s="138" t="s">
        <v>27</v>
      </c>
      <c r="F189" s="139" t="s">
        <v>261</v>
      </c>
      <c r="G189" s="138" t="s">
        <v>146</v>
      </c>
      <c r="H189" s="138" t="s">
        <v>21</v>
      </c>
      <c r="I189" s="140" t="s">
        <v>248</v>
      </c>
      <c r="J189" s="141">
        <f>2026-I189</f>
        <v>13</v>
      </c>
      <c r="K189" s="141">
        <v>2</v>
      </c>
      <c r="L189" s="141">
        <f t="shared" si="24"/>
        <v>2</v>
      </c>
      <c r="M189" s="52" t="s">
        <v>54</v>
      </c>
      <c r="N189" s="143"/>
      <c r="O189" s="143"/>
      <c r="P189" s="144">
        <v>80000</v>
      </c>
      <c r="Q189" s="144">
        <f t="shared" si="25"/>
        <v>160000</v>
      </c>
      <c r="R189" s="145">
        <v>1</v>
      </c>
      <c r="S189" s="144">
        <f t="shared" si="26"/>
        <v>160000</v>
      </c>
      <c r="T189" s="52" t="s">
        <v>394</v>
      </c>
    </row>
    <row r="190" spans="1:20" s="19" customFormat="1" ht="42" customHeight="1" x14ac:dyDescent="0.3">
      <c r="A190" s="136" t="s">
        <v>389</v>
      </c>
      <c r="B190" s="321" t="s">
        <v>262</v>
      </c>
      <c r="C190" s="321" t="s">
        <v>263</v>
      </c>
      <c r="D190" s="52" t="s">
        <v>51</v>
      </c>
      <c r="E190" s="138" t="s">
        <v>27</v>
      </c>
      <c r="F190" s="139" t="s">
        <v>264</v>
      </c>
      <c r="G190" s="138" t="s">
        <v>146</v>
      </c>
      <c r="H190" s="138" t="s">
        <v>21</v>
      </c>
      <c r="I190" s="140" t="s">
        <v>238</v>
      </c>
      <c r="J190" s="141">
        <f>2026-I190</f>
        <v>6</v>
      </c>
      <c r="K190" s="141">
        <v>1</v>
      </c>
      <c r="L190" s="141">
        <f t="shared" si="24"/>
        <v>1</v>
      </c>
      <c r="M190" s="52" t="s">
        <v>54</v>
      </c>
      <c r="N190" s="143"/>
      <c r="O190" s="143"/>
      <c r="P190" s="144">
        <v>33600</v>
      </c>
      <c r="Q190" s="144">
        <f t="shared" si="25"/>
        <v>34000</v>
      </c>
      <c r="R190" s="145">
        <v>1</v>
      </c>
      <c r="S190" s="144">
        <f t="shared" si="26"/>
        <v>34000</v>
      </c>
      <c r="T190" s="52" t="s">
        <v>394</v>
      </c>
    </row>
    <row r="191" spans="1:20" s="19" customFormat="1" ht="45" customHeight="1" x14ac:dyDescent="0.3">
      <c r="A191" s="239"/>
      <c r="B191" s="166" t="s">
        <v>55</v>
      </c>
      <c r="C191" s="166"/>
      <c r="D191" s="240"/>
      <c r="E191" s="159"/>
      <c r="F191" s="167"/>
      <c r="G191" s="167"/>
      <c r="H191" s="167"/>
      <c r="I191" s="168"/>
      <c r="J191" s="167"/>
      <c r="K191" s="167"/>
      <c r="L191" s="167"/>
      <c r="M191" s="167"/>
      <c r="N191" s="167"/>
      <c r="O191" s="167"/>
      <c r="P191" s="167"/>
      <c r="Q191" s="167"/>
      <c r="R191" s="45"/>
      <c r="S191" s="45">
        <f>S179+S176+S171+S169</f>
        <v>9420000</v>
      </c>
      <c r="T191" s="185"/>
    </row>
    <row r="192" spans="1:20" s="19" customFormat="1" ht="18.75" customHeight="1" x14ac:dyDescent="0.3">
      <c r="A192" s="272" t="s">
        <v>56</v>
      </c>
      <c r="B192" s="273" t="s">
        <v>201</v>
      </c>
      <c r="C192" s="233"/>
      <c r="D192" s="233"/>
      <c r="E192" s="233"/>
      <c r="F192" s="233"/>
      <c r="G192" s="233"/>
      <c r="H192" s="233"/>
      <c r="I192" s="234"/>
      <c r="J192" s="233"/>
      <c r="K192" s="235"/>
      <c r="L192" s="235"/>
      <c r="M192" s="233"/>
      <c r="N192" s="235"/>
      <c r="O192" s="233"/>
      <c r="P192" s="236"/>
      <c r="Q192" s="233"/>
      <c r="R192" s="233"/>
      <c r="S192" s="237">
        <f>S206</f>
        <v>7274000</v>
      </c>
      <c r="T192" s="233"/>
    </row>
    <row r="193" spans="1:20" s="19" customFormat="1" ht="18.75" customHeight="1" x14ac:dyDescent="0.3">
      <c r="A193" s="765"/>
      <c r="B193" s="767" t="s">
        <v>51</v>
      </c>
      <c r="C193" s="767" t="s">
        <v>58</v>
      </c>
      <c r="D193" s="768" t="s">
        <v>59</v>
      </c>
      <c r="E193" s="769" t="s">
        <v>60</v>
      </c>
      <c r="F193" s="769" t="s">
        <v>61</v>
      </c>
      <c r="G193" s="769" t="s">
        <v>62</v>
      </c>
      <c r="H193" s="769" t="s">
        <v>63</v>
      </c>
      <c r="I193" s="770" t="s">
        <v>64</v>
      </c>
      <c r="J193" s="757"/>
      <c r="K193" s="757"/>
      <c r="L193" s="757"/>
      <c r="M193" s="758"/>
      <c r="N193" s="771" t="s">
        <v>3</v>
      </c>
      <c r="O193" s="771" t="s">
        <v>65</v>
      </c>
      <c r="P193" s="771" t="s">
        <v>66</v>
      </c>
      <c r="Q193" s="771" t="s">
        <v>67</v>
      </c>
      <c r="R193" s="767" t="s">
        <v>68</v>
      </c>
      <c r="S193" s="767" t="s">
        <v>69</v>
      </c>
      <c r="T193" s="767" t="s">
        <v>70</v>
      </c>
    </row>
    <row r="194" spans="1:20" s="19" customFormat="1" ht="18.75" customHeight="1" x14ac:dyDescent="0.3">
      <c r="A194" s="766"/>
      <c r="B194" s="766"/>
      <c r="C194" s="766"/>
      <c r="D194" s="766"/>
      <c r="E194" s="766"/>
      <c r="F194" s="766"/>
      <c r="G194" s="766"/>
      <c r="H194" s="766"/>
      <c r="I194" s="168" t="s">
        <v>71</v>
      </c>
      <c r="J194" s="159" t="s">
        <v>72</v>
      </c>
      <c r="K194" s="159" t="s">
        <v>73</v>
      </c>
      <c r="L194" s="45" t="s">
        <v>74</v>
      </c>
      <c r="M194" s="204" t="s">
        <v>75</v>
      </c>
      <c r="N194" s="766"/>
      <c r="O194" s="766"/>
      <c r="P194" s="766"/>
      <c r="Q194" s="766"/>
      <c r="R194" s="766"/>
      <c r="S194" s="766"/>
      <c r="T194" s="766"/>
    </row>
    <row r="195" spans="1:20" s="19" customFormat="1" ht="89.25" customHeight="1" x14ac:dyDescent="0.3">
      <c r="A195" s="196" t="s">
        <v>5</v>
      </c>
      <c r="B195" s="49" t="s">
        <v>76</v>
      </c>
      <c r="C195" s="49" t="s">
        <v>77</v>
      </c>
      <c r="D195" s="49" t="s">
        <v>78</v>
      </c>
      <c r="E195" s="159" t="s">
        <v>79</v>
      </c>
      <c r="F195" s="159" t="s">
        <v>80</v>
      </c>
      <c r="G195" s="159" t="s">
        <v>81</v>
      </c>
      <c r="H195" s="45" t="s">
        <v>82</v>
      </c>
      <c r="I195" s="168" t="s">
        <v>83</v>
      </c>
      <c r="J195" s="242" t="s">
        <v>84</v>
      </c>
      <c r="K195" s="242" t="s">
        <v>85</v>
      </c>
      <c r="L195" s="49" t="s">
        <v>86</v>
      </c>
      <c r="M195" s="204" t="s">
        <v>87</v>
      </c>
      <c r="N195" s="159" t="s">
        <v>88</v>
      </c>
      <c r="O195" s="159" t="s">
        <v>89</v>
      </c>
      <c r="P195" s="159" t="s">
        <v>90</v>
      </c>
      <c r="Q195" s="159" t="s">
        <v>91</v>
      </c>
      <c r="R195" s="159" t="s">
        <v>92</v>
      </c>
      <c r="S195" s="159" t="s">
        <v>964</v>
      </c>
      <c r="T195" s="159" t="s">
        <v>15</v>
      </c>
    </row>
    <row r="196" spans="1:20" ht="30" customHeight="1" x14ac:dyDescent="0.3">
      <c r="A196" s="491" t="s">
        <v>142</v>
      </c>
      <c r="B196" s="915" t="s">
        <v>265</v>
      </c>
      <c r="C196" s="916"/>
      <c r="D196" s="491"/>
      <c r="E196" s="458"/>
      <c r="F196" s="458"/>
      <c r="G196" s="458"/>
      <c r="H196" s="459"/>
      <c r="I196" s="492"/>
      <c r="J196" s="493"/>
      <c r="K196" s="493"/>
      <c r="L196" s="491"/>
      <c r="M196" s="494"/>
      <c r="N196" s="458"/>
      <c r="O196" s="458"/>
      <c r="P196" s="458"/>
      <c r="Q196" s="458"/>
      <c r="R196" s="458"/>
      <c r="S196" s="458"/>
      <c r="T196" s="458"/>
    </row>
    <row r="197" spans="1:20" ht="47.25" customHeight="1" x14ac:dyDescent="0.3">
      <c r="A197" s="453" t="s">
        <v>19</v>
      </c>
      <c r="B197" s="503" t="s">
        <v>93</v>
      </c>
      <c r="C197" s="503" t="s">
        <v>266</v>
      </c>
      <c r="D197" s="504" t="s">
        <v>94</v>
      </c>
      <c r="E197" s="500">
        <v>2000</v>
      </c>
      <c r="F197" s="457" t="s">
        <v>97</v>
      </c>
      <c r="G197" s="457">
        <f t="shared" ref="G197:G205" si="27">2024-E197</f>
        <v>24</v>
      </c>
      <c r="H197" s="460" t="s">
        <v>95</v>
      </c>
      <c r="I197" s="501">
        <f>10*1</f>
        <v>10</v>
      </c>
      <c r="J197" s="461" t="s">
        <v>96</v>
      </c>
      <c r="K197" s="460">
        <f>+I197-J197</f>
        <v>10</v>
      </c>
      <c r="L197" s="462">
        <v>0.99199999999999999</v>
      </c>
      <c r="M197" s="463">
        <v>134000</v>
      </c>
      <c r="N197" s="464">
        <v>0.8</v>
      </c>
      <c r="O197" s="463">
        <f>+M197</f>
        <v>134000</v>
      </c>
      <c r="P197" s="459">
        <f>+ROUND((K197*L197*O197*N197),-3)</f>
        <v>1063000</v>
      </c>
      <c r="Q197" s="463" t="s">
        <v>97</v>
      </c>
      <c r="R197" s="463" t="s">
        <v>97</v>
      </c>
      <c r="S197" s="459">
        <f>P197</f>
        <v>1063000</v>
      </c>
      <c r="T197" s="460" t="s">
        <v>1026</v>
      </c>
    </row>
    <row r="198" spans="1:20" ht="30" customHeight="1" x14ac:dyDescent="0.3">
      <c r="A198" s="458" t="s">
        <v>142</v>
      </c>
      <c r="B198" s="915" t="s">
        <v>242</v>
      </c>
      <c r="C198" s="916"/>
      <c r="D198" s="465"/>
      <c r="E198" s="457"/>
      <c r="F198" s="458"/>
      <c r="G198" s="457">
        <f t="shared" si="27"/>
        <v>2024</v>
      </c>
      <c r="H198" s="460"/>
      <c r="I198" s="461"/>
      <c r="J198" s="461"/>
      <c r="K198" s="460"/>
      <c r="L198" s="462"/>
      <c r="M198" s="463"/>
      <c r="N198" s="464"/>
      <c r="O198" s="463"/>
      <c r="P198" s="459"/>
      <c r="Q198" s="463"/>
      <c r="R198" s="463"/>
      <c r="S198" s="459"/>
      <c r="T198" s="460"/>
    </row>
    <row r="199" spans="1:20" ht="45.75" customHeight="1" x14ac:dyDescent="0.3">
      <c r="A199" s="453" t="s">
        <v>19</v>
      </c>
      <c r="B199" s="498" t="s">
        <v>93</v>
      </c>
      <c r="C199" s="498" t="s">
        <v>268</v>
      </c>
      <c r="D199" s="499" t="s">
        <v>94</v>
      </c>
      <c r="E199" s="502" t="s">
        <v>147</v>
      </c>
      <c r="F199" s="458"/>
      <c r="G199" s="457">
        <f t="shared" si="27"/>
        <v>24</v>
      </c>
      <c r="H199" s="460" t="s">
        <v>95</v>
      </c>
      <c r="I199" s="501">
        <f>12*1.5</f>
        <v>18</v>
      </c>
      <c r="J199" s="461" t="s">
        <v>96</v>
      </c>
      <c r="K199" s="460">
        <f t="shared" ref="K199:K205" si="28">+I199-J199</f>
        <v>18</v>
      </c>
      <c r="L199" s="462">
        <v>0.99199999999999999</v>
      </c>
      <c r="M199" s="463">
        <v>134000</v>
      </c>
      <c r="N199" s="464">
        <v>0.8</v>
      </c>
      <c r="O199" s="463">
        <f t="shared" ref="O199:O205" si="29">+M199</f>
        <v>134000</v>
      </c>
      <c r="P199" s="459">
        <f t="shared" ref="P199:P205" si="30">+ROUND((K199*L199*O199*N199),-3)</f>
        <v>1914000</v>
      </c>
      <c r="Q199" s="463" t="s">
        <v>97</v>
      </c>
      <c r="R199" s="463" t="s">
        <v>97</v>
      </c>
      <c r="S199" s="459">
        <f t="shared" ref="S199:S205" si="31">P199</f>
        <v>1914000</v>
      </c>
      <c r="T199" s="460" t="s">
        <v>1027</v>
      </c>
    </row>
    <row r="200" spans="1:20" ht="45" customHeight="1" x14ac:dyDescent="0.3">
      <c r="A200" s="453" t="s">
        <v>98</v>
      </c>
      <c r="B200" s="507" t="s">
        <v>120</v>
      </c>
      <c r="C200" s="507" t="s">
        <v>269</v>
      </c>
      <c r="D200" s="499" t="s">
        <v>94</v>
      </c>
      <c r="E200" s="508" t="s">
        <v>147</v>
      </c>
      <c r="F200" s="458"/>
      <c r="G200" s="457">
        <f t="shared" si="27"/>
        <v>24</v>
      </c>
      <c r="H200" s="460" t="s">
        <v>95</v>
      </c>
      <c r="I200" s="509">
        <f>5.6*2.3</f>
        <v>12.879999999999999</v>
      </c>
      <c r="J200" s="461" t="s">
        <v>96</v>
      </c>
      <c r="K200" s="460">
        <f t="shared" si="28"/>
        <v>12.879999999999999</v>
      </c>
      <c r="L200" s="462">
        <v>0.99199999999999999</v>
      </c>
      <c r="M200" s="463">
        <v>189000</v>
      </c>
      <c r="N200" s="464">
        <v>0.8</v>
      </c>
      <c r="O200" s="463">
        <f t="shared" si="29"/>
        <v>189000</v>
      </c>
      <c r="P200" s="459">
        <f t="shared" si="30"/>
        <v>1932000</v>
      </c>
      <c r="Q200" s="463" t="s">
        <v>97</v>
      </c>
      <c r="R200" s="463" t="s">
        <v>97</v>
      </c>
      <c r="S200" s="459">
        <f t="shared" si="31"/>
        <v>1932000</v>
      </c>
      <c r="T200" s="460" t="s">
        <v>270</v>
      </c>
    </row>
    <row r="201" spans="1:20" ht="39" customHeight="1" x14ac:dyDescent="0.3">
      <c r="A201" s="453" t="s">
        <v>104</v>
      </c>
      <c r="B201" s="507" t="s">
        <v>271</v>
      </c>
      <c r="C201" s="507" t="s">
        <v>272</v>
      </c>
      <c r="D201" s="510" t="s">
        <v>100</v>
      </c>
      <c r="E201" s="508" t="s">
        <v>147</v>
      </c>
      <c r="F201" s="458"/>
      <c r="G201" s="457">
        <f t="shared" si="27"/>
        <v>24</v>
      </c>
      <c r="H201" s="460" t="s">
        <v>95</v>
      </c>
      <c r="I201" s="509">
        <f>(0.1*0.2*5.6)*2</f>
        <v>0.22400000000000003</v>
      </c>
      <c r="J201" s="461" t="s">
        <v>96</v>
      </c>
      <c r="K201" s="460">
        <f t="shared" si="28"/>
        <v>0.22400000000000003</v>
      </c>
      <c r="L201" s="462">
        <v>0.99199999999999999</v>
      </c>
      <c r="M201" s="463">
        <v>2446000</v>
      </c>
      <c r="N201" s="464">
        <v>0.8</v>
      </c>
      <c r="O201" s="463">
        <f t="shared" si="29"/>
        <v>2446000</v>
      </c>
      <c r="P201" s="459">
        <f t="shared" si="30"/>
        <v>435000</v>
      </c>
      <c r="Q201" s="463" t="s">
        <v>97</v>
      </c>
      <c r="R201" s="463" t="s">
        <v>97</v>
      </c>
      <c r="S201" s="459">
        <f t="shared" si="31"/>
        <v>435000</v>
      </c>
      <c r="T201" s="460" t="s">
        <v>273</v>
      </c>
    </row>
    <row r="202" spans="1:20" ht="39" customHeight="1" x14ac:dyDescent="0.3">
      <c r="A202" s="453" t="s">
        <v>107</v>
      </c>
      <c r="B202" s="507" t="s">
        <v>99</v>
      </c>
      <c r="C202" s="507" t="s">
        <v>274</v>
      </c>
      <c r="D202" s="510" t="s">
        <v>100</v>
      </c>
      <c r="E202" s="508" t="s">
        <v>147</v>
      </c>
      <c r="F202" s="458"/>
      <c r="G202" s="457">
        <f t="shared" si="27"/>
        <v>24</v>
      </c>
      <c r="H202" s="460" t="s">
        <v>95</v>
      </c>
      <c r="I202" s="509">
        <f>(0.3*0.3*1.7)*2</f>
        <v>0.30599999999999999</v>
      </c>
      <c r="J202" s="461" t="s">
        <v>96</v>
      </c>
      <c r="K202" s="460">
        <f t="shared" si="28"/>
        <v>0.30599999999999999</v>
      </c>
      <c r="L202" s="462">
        <v>0.99199999999999999</v>
      </c>
      <c r="M202" s="463">
        <v>2556000</v>
      </c>
      <c r="N202" s="464">
        <v>0.8</v>
      </c>
      <c r="O202" s="463">
        <f t="shared" si="29"/>
        <v>2556000</v>
      </c>
      <c r="P202" s="459">
        <f t="shared" si="30"/>
        <v>621000</v>
      </c>
      <c r="Q202" s="463" t="s">
        <v>97</v>
      </c>
      <c r="R202" s="463" t="s">
        <v>97</v>
      </c>
      <c r="S202" s="459">
        <f t="shared" si="31"/>
        <v>621000</v>
      </c>
      <c r="T202" s="460" t="s">
        <v>275</v>
      </c>
    </row>
    <row r="203" spans="1:20" ht="45" customHeight="1" x14ac:dyDescent="0.3">
      <c r="A203" s="453" t="s">
        <v>110</v>
      </c>
      <c r="B203" s="507" t="s">
        <v>172</v>
      </c>
      <c r="C203" s="507" t="s">
        <v>276</v>
      </c>
      <c r="D203" s="499" t="s">
        <v>94</v>
      </c>
      <c r="E203" s="508" t="s">
        <v>147</v>
      </c>
      <c r="F203" s="458"/>
      <c r="G203" s="457">
        <f t="shared" si="27"/>
        <v>24</v>
      </c>
      <c r="H203" s="460" t="s">
        <v>95</v>
      </c>
      <c r="I203" s="509">
        <f>2*1.5*2</f>
        <v>6</v>
      </c>
      <c r="J203" s="461" t="s">
        <v>96</v>
      </c>
      <c r="K203" s="460">
        <f t="shared" si="28"/>
        <v>6</v>
      </c>
      <c r="L203" s="462">
        <v>0.99199999999999999</v>
      </c>
      <c r="M203" s="463">
        <v>134000</v>
      </c>
      <c r="N203" s="464">
        <v>0.8</v>
      </c>
      <c r="O203" s="463">
        <f t="shared" si="29"/>
        <v>134000</v>
      </c>
      <c r="P203" s="459">
        <f t="shared" si="30"/>
        <v>638000</v>
      </c>
      <c r="Q203" s="463" t="s">
        <v>97</v>
      </c>
      <c r="R203" s="463" t="s">
        <v>97</v>
      </c>
      <c r="S203" s="459">
        <f t="shared" si="31"/>
        <v>638000</v>
      </c>
      <c r="T203" s="460" t="s">
        <v>267</v>
      </c>
    </row>
    <row r="204" spans="1:20" ht="108.75" customHeight="1" x14ac:dyDescent="0.3">
      <c r="A204" s="453" t="s">
        <v>112</v>
      </c>
      <c r="B204" s="507" t="s">
        <v>214</v>
      </c>
      <c r="C204" s="507" t="s">
        <v>277</v>
      </c>
      <c r="D204" s="499" t="s">
        <v>94</v>
      </c>
      <c r="E204" s="508" t="s">
        <v>147</v>
      </c>
      <c r="F204" s="458"/>
      <c r="G204" s="457">
        <f t="shared" si="27"/>
        <v>24</v>
      </c>
      <c r="H204" s="460" t="s">
        <v>95</v>
      </c>
      <c r="I204" s="509">
        <f>2.5*3</f>
        <v>7.5</v>
      </c>
      <c r="J204" s="461" t="s">
        <v>96</v>
      </c>
      <c r="K204" s="460">
        <f t="shared" si="28"/>
        <v>7.5</v>
      </c>
      <c r="L204" s="462">
        <v>0.99199999999999999</v>
      </c>
      <c r="M204" s="463">
        <v>189000</v>
      </c>
      <c r="N204" s="464">
        <v>0.2</v>
      </c>
      <c r="O204" s="463">
        <f t="shared" si="29"/>
        <v>189000</v>
      </c>
      <c r="P204" s="459">
        <f t="shared" si="30"/>
        <v>281000</v>
      </c>
      <c r="Q204" s="463" t="s">
        <v>97</v>
      </c>
      <c r="R204" s="463" t="s">
        <v>97</v>
      </c>
      <c r="S204" s="459">
        <f t="shared" si="31"/>
        <v>281000</v>
      </c>
      <c r="T204" s="460" t="s">
        <v>951</v>
      </c>
    </row>
    <row r="205" spans="1:20" ht="108.75" customHeight="1" x14ac:dyDescent="0.3">
      <c r="A205" s="453" t="s">
        <v>115</v>
      </c>
      <c r="B205" s="507" t="s">
        <v>176</v>
      </c>
      <c r="C205" s="507" t="s">
        <v>278</v>
      </c>
      <c r="D205" s="502" t="s">
        <v>190</v>
      </c>
      <c r="E205" s="508" t="s">
        <v>147</v>
      </c>
      <c r="F205" s="458"/>
      <c r="G205" s="457">
        <f t="shared" si="27"/>
        <v>24</v>
      </c>
      <c r="H205" s="460" t="s">
        <v>95</v>
      </c>
      <c r="I205" s="509">
        <v>3</v>
      </c>
      <c r="J205" s="461" t="s">
        <v>96</v>
      </c>
      <c r="K205" s="460">
        <f t="shared" si="28"/>
        <v>3</v>
      </c>
      <c r="L205" s="462">
        <v>0.99199999999999999</v>
      </c>
      <c r="M205" s="463">
        <v>656000</v>
      </c>
      <c r="N205" s="464">
        <v>0.2</v>
      </c>
      <c r="O205" s="463">
        <f t="shared" si="29"/>
        <v>656000</v>
      </c>
      <c r="P205" s="459">
        <f t="shared" si="30"/>
        <v>390000</v>
      </c>
      <c r="Q205" s="463" t="s">
        <v>97</v>
      </c>
      <c r="R205" s="463" t="s">
        <v>97</v>
      </c>
      <c r="S205" s="459">
        <f t="shared" si="31"/>
        <v>390000</v>
      </c>
      <c r="T205" s="460" t="s">
        <v>952</v>
      </c>
    </row>
    <row r="206" spans="1:20" s="19" customFormat="1" ht="30" customHeight="1" x14ac:dyDescent="0.3">
      <c r="A206" s="313"/>
      <c r="B206" s="166" t="s">
        <v>55</v>
      </c>
      <c r="C206" s="166"/>
      <c r="D206" s="159"/>
      <c r="E206" s="159"/>
      <c r="F206" s="167"/>
      <c r="G206" s="167"/>
      <c r="H206" s="167"/>
      <c r="I206" s="168"/>
      <c r="J206" s="167"/>
      <c r="K206" s="167"/>
      <c r="L206" s="167"/>
      <c r="M206" s="167"/>
      <c r="N206" s="167"/>
      <c r="O206" s="167"/>
      <c r="P206" s="167"/>
      <c r="Q206" s="167"/>
      <c r="R206" s="167"/>
      <c r="S206" s="45">
        <f>SUM(S197:S205)</f>
        <v>7274000</v>
      </c>
      <c r="T206" s="167"/>
    </row>
    <row r="207" spans="1:20" s="19" customFormat="1" ht="30" customHeight="1" x14ac:dyDescent="0.3">
      <c r="A207" s="171" t="s">
        <v>131</v>
      </c>
      <c r="B207" s="172" t="s">
        <v>132</v>
      </c>
      <c r="C207" s="173"/>
      <c r="D207" s="466"/>
      <c r="E207" s="466"/>
      <c r="F207" s="466"/>
      <c r="G207" s="466"/>
      <c r="H207" s="466"/>
      <c r="I207" s="467"/>
      <c r="J207" s="466"/>
      <c r="K207" s="468"/>
      <c r="L207" s="468"/>
      <c r="M207" s="466"/>
      <c r="N207" s="468"/>
      <c r="O207" s="466"/>
      <c r="P207" s="469"/>
      <c r="Q207" s="466"/>
      <c r="R207" s="466"/>
      <c r="S207" s="470"/>
      <c r="T207" s="466"/>
    </row>
    <row r="208" spans="1:20" s="19" customFormat="1" ht="30" customHeight="1" x14ac:dyDescent="0.3">
      <c r="A208" s="171" t="s">
        <v>133</v>
      </c>
      <c r="B208" s="172" t="s">
        <v>134</v>
      </c>
      <c r="C208" s="174"/>
      <c r="D208" s="174"/>
      <c r="E208" s="174"/>
      <c r="F208" s="174"/>
      <c r="G208" s="174"/>
      <c r="H208" s="174"/>
      <c r="I208" s="175"/>
      <c r="J208" s="174"/>
      <c r="K208" s="176"/>
      <c r="L208" s="176"/>
      <c r="M208" s="174"/>
      <c r="N208" s="176"/>
      <c r="O208" s="174"/>
      <c r="P208" s="177"/>
      <c r="Q208" s="174"/>
      <c r="R208" s="174"/>
      <c r="S208" s="174"/>
      <c r="T208" s="174"/>
    </row>
    <row r="209" spans="1:20" s="19" customFormat="1" ht="30" customHeight="1" x14ac:dyDescent="0.3">
      <c r="A209" s="178" t="s">
        <v>135</v>
      </c>
      <c r="B209" s="756" t="s">
        <v>279</v>
      </c>
      <c r="C209" s="757"/>
      <c r="D209" s="757"/>
      <c r="E209" s="757"/>
      <c r="F209" s="757"/>
      <c r="G209" s="757"/>
      <c r="H209" s="757"/>
      <c r="I209" s="757"/>
      <c r="J209" s="757"/>
      <c r="K209" s="757"/>
      <c r="L209" s="757"/>
      <c r="M209" s="757"/>
      <c r="N209" s="757"/>
      <c r="O209" s="757"/>
      <c r="P209" s="757"/>
      <c r="Q209" s="757"/>
      <c r="R209" s="758"/>
      <c r="S209" s="29">
        <f>+S206+S191</f>
        <v>16694000</v>
      </c>
      <c r="T209" s="174" t="s">
        <v>137</v>
      </c>
    </row>
    <row r="210" spans="1:20" ht="18.75" customHeight="1" x14ac:dyDescent="0.3">
      <c r="A210" s="474"/>
      <c r="B210" s="888" t="s">
        <v>280</v>
      </c>
      <c r="C210" s="773"/>
      <c r="D210" s="773"/>
      <c r="E210" s="773"/>
      <c r="F210" s="773"/>
      <c r="G210" s="773"/>
      <c r="H210" s="773"/>
      <c r="I210" s="773"/>
      <c r="J210" s="773"/>
      <c r="K210" s="773"/>
      <c r="L210" s="773"/>
      <c r="M210" s="773"/>
      <c r="N210" s="773"/>
      <c r="O210" s="773"/>
      <c r="P210" s="773"/>
      <c r="Q210" s="773"/>
      <c r="R210" s="773"/>
      <c r="S210" s="773"/>
      <c r="T210" s="474"/>
    </row>
    <row r="211" spans="1:20" ht="18.75" customHeight="1" x14ac:dyDescent="0.3">
      <c r="A211" s="474"/>
      <c r="B211" s="772" t="s">
        <v>1</v>
      </c>
      <c r="C211" s="773"/>
      <c r="D211" s="773"/>
      <c r="E211" s="773"/>
      <c r="F211" s="773"/>
      <c r="G211" s="773"/>
      <c r="H211" s="773"/>
      <c r="I211" s="773"/>
      <c r="J211" s="773"/>
      <c r="K211" s="773"/>
      <c r="L211" s="773"/>
      <c r="M211" s="773"/>
      <c r="N211" s="773"/>
      <c r="O211" s="773"/>
      <c r="P211" s="773"/>
      <c r="Q211" s="773"/>
      <c r="R211" s="773"/>
      <c r="S211" s="773"/>
      <c r="T211" s="474"/>
    </row>
    <row r="212" spans="1:20" ht="18.75" customHeight="1" x14ac:dyDescent="0.3">
      <c r="A212" s="474"/>
      <c r="B212" s="772" t="s">
        <v>2</v>
      </c>
      <c r="C212" s="773"/>
      <c r="D212" s="773"/>
      <c r="E212" s="773"/>
      <c r="F212" s="773"/>
      <c r="G212" s="773"/>
      <c r="H212" s="773"/>
      <c r="I212" s="773"/>
      <c r="J212" s="773"/>
      <c r="K212" s="773"/>
      <c r="L212" s="773"/>
      <c r="M212" s="773"/>
      <c r="N212" s="773"/>
      <c r="O212" s="773"/>
      <c r="P212" s="773"/>
      <c r="Q212" s="773"/>
      <c r="R212" s="773"/>
      <c r="S212" s="773"/>
      <c r="T212" s="474"/>
    </row>
    <row r="213" spans="1:20" ht="18.75" customHeight="1" x14ac:dyDescent="0.3">
      <c r="A213" s="475"/>
      <c r="B213" s="809" t="str">
        <f>B154</f>
        <v>(Kèm theo Quyết định số     /QĐ-UBND ngày     tháng     năm 2026 của Ủy ban nhân dân xã Thuận An)</v>
      </c>
      <c r="C213" s="773"/>
      <c r="D213" s="773"/>
      <c r="E213" s="773"/>
      <c r="F213" s="773"/>
      <c r="G213" s="773"/>
      <c r="H213" s="773"/>
      <c r="I213" s="773"/>
      <c r="J213" s="773"/>
      <c r="K213" s="773"/>
      <c r="L213" s="773"/>
      <c r="M213" s="773"/>
      <c r="N213" s="773"/>
      <c r="O213" s="773"/>
      <c r="P213" s="773"/>
      <c r="Q213" s="773"/>
      <c r="R213" s="773"/>
      <c r="S213" s="773"/>
      <c r="T213" s="475"/>
    </row>
    <row r="214" spans="1:20" s="19" customFormat="1" ht="18.75" customHeight="1" thickBot="1" x14ac:dyDescent="0.35">
      <c r="A214" s="272" t="s">
        <v>3</v>
      </c>
      <c r="B214" s="273" t="s">
        <v>4</v>
      </c>
      <c r="C214" s="233"/>
      <c r="D214" s="233"/>
      <c r="E214" s="233"/>
      <c r="F214" s="233"/>
      <c r="G214" s="233"/>
      <c r="H214" s="233"/>
      <c r="I214" s="234"/>
      <c r="J214" s="233"/>
      <c r="K214" s="235"/>
      <c r="L214" s="235"/>
      <c r="M214" s="233"/>
      <c r="N214" s="235"/>
      <c r="O214" s="233"/>
      <c r="P214" s="236"/>
      <c r="Q214" s="233"/>
      <c r="R214" s="233"/>
      <c r="S214" s="237"/>
      <c r="T214" s="233"/>
    </row>
    <row r="215" spans="1:20" s="19" customFormat="1" ht="39" customHeight="1" x14ac:dyDescent="0.3">
      <c r="A215" s="846" t="s">
        <v>5</v>
      </c>
      <c r="B215" s="778" t="s">
        <v>6</v>
      </c>
      <c r="C215" s="778" t="s">
        <v>7</v>
      </c>
      <c r="D215" s="778" t="s">
        <v>959</v>
      </c>
      <c r="E215" s="777"/>
      <c r="F215" s="777"/>
      <c r="G215" s="778" t="s">
        <v>960</v>
      </c>
      <c r="H215" s="777"/>
      <c r="I215" s="777"/>
      <c r="J215" s="778" t="s">
        <v>961</v>
      </c>
      <c r="K215" s="777"/>
      <c r="L215" s="777"/>
      <c r="M215" s="779" t="s">
        <v>8</v>
      </c>
      <c r="N215" s="779" t="s">
        <v>9</v>
      </c>
      <c r="O215" s="779" t="s">
        <v>10</v>
      </c>
      <c r="P215" s="780" t="s">
        <v>11</v>
      </c>
      <c r="Q215" s="780" t="s">
        <v>12</v>
      </c>
      <c r="R215" s="780" t="s">
        <v>13</v>
      </c>
      <c r="S215" s="778" t="s">
        <v>14</v>
      </c>
      <c r="T215" s="778" t="s">
        <v>15</v>
      </c>
    </row>
    <row r="216" spans="1:20" s="19" customFormat="1" ht="45.75" customHeight="1" x14ac:dyDescent="0.3">
      <c r="A216" s="913"/>
      <c r="B216" s="777"/>
      <c r="C216" s="777"/>
      <c r="D216" s="778" t="s">
        <v>16</v>
      </c>
      <c r="E216" s="778" t="s">
        <v>17</v>
      </c>
      <c r="F216" s="777"/>
      <c r="G216" s="778" t="s">
        <v>16</v>
      </c>
      <c r="H216" s="778" t="s">
        <v>17</v>
      </c>
      <c r="I216" s="777"/>
      <c r="J216" s="776" t="s">
        <v>18</v>
      </c>
      <c r="K216" s="778" t="s">
        <v>17</v>
      </c>
      <c r="L216" s="777"/>
      <c r="M216" s="777"/>
      <c r="N216" s="777"/>
      <c r="O216" s="777"/>
      <c r="P216" s="777"/>
      <c r="Q216" s="777"/>
      <c r="R216" s="777"/>
      <c r="S216" s="777"/>
      <c r="T216" s="777"/>
    </row>
    <row r="217" spans="1:20" s="19" customFormat="1" ht="70.5" customHeight="1" x14ac:dyDescent="0.3">
      <c r="A217" s="914"/>
      <c r="B217" s="777"/>
      <c r="C217" s="777"/>
      <c r="D217" s="777"/>
      <c r="E217" s="415" t="s">
        <v>962</v>
      </c>
      <c r="F217" s="415" t="s">
        <v>963</v>
      </c>
      <c r="G217" s="777"/>
      <c r="H217" s="415" t="s">
        <v>962</v>
      </c>
      <c r="I217" s="189" t="s">
        <v>963</v>
      </c>
      <c r="J217" s="777"/>
      <c r="K217" s="415" t="s">
        <v>962</v>
      </c>
      <c r="L217" s="415" t="s">
        <v>963</v>
      </c>
      <c r="M217" s="777"/>
      <c r="N217" s="777"/>
      <c r="O217" s="777"/>
      <c r="P217" s="777"/>
      <c r="Q217" s="777"/>
      <c r="R217" s="777"/>
      <c r="S217" s="777"/>
      <c r="T217" s="777"/>
    </row>
    <row r="218" spans="1:20" s="19" customFormat="1" ht="117" customHeight="1" x14ac:dyDescent="0.3">
      <c r="A218" s="187" t="s">
        <v>110</v>
      </c>
      <c r="B218" s="190" t="s">
        <v>281</v>
      </c>
      <c r="C218" s="424" t="s">
        <v>282</v>
      </c>
      <c r="D218" s="191">
        <f>E218+F218</f>
        <v>8522</v>
      </c>
      <c r="E218" s="191">
        <v>100</v>
      </c>
      <c r="F218" s="191">
        <v>8422</v>
      </c>
      <c r="G218" s="191">
        <f>100+143</f>
        <v>243</v>
      </c>
      <c r="H218" s="191">
        <v>100</v>
      </c>
      <c r="I218" s="192">
        <f>G218-H218</f>
        <v>143</v>
      </c>
      <c r="J218" s="191">
        <v>31.8</v>
      </c>
      <c r="K218" s="191">
        <v>0</v>
      </c>
      <c r="L218" s="191">
        <f>+J218-K218</f>
        <v>31.8</v>
      </c>
      <c r="M218" s="193">
        <v>0</v>
      </c>
      <c r="N218" s="314">
        <f>(L218/F218)*100%</f>
        <v>3.775825219662788E-3</v>
      </c>
      <c r="O218" s="248" t="s">
        <v>21</v>
      </c>
      <c r="P218" s="195" t="s">
        <v>140</v>
      </c>
      <c r="Q218" s="195" t="s">
        <v>23</v>
      </c>
      <c r="R218" s="248" t="s">
        <v>24</v>
      </c>
      <c r="S218" s="248" t="s">
        <v>25</v>
      </c>
      <c r="T218" s="248" t="s">
        <v>283</v>
      </c>
    </row>
    <row r="219" spans="1:20" s="19" customFormat="1" ht="30" customHeight="1" x14ac:dyDescent="0.3">
      <c r="A219" s="272" t="s">
        <v>27</v>
      </c>
      <c r="B219" s="300" t="s">
        <v>777</v>
      </c>
      <c r="C219" s="301"/>
      <c r="D219" s="301"/>
      <c r="E219" s="301"/>
      <c r="F219" s="301"/>
      <c r="G219" s="301"/>
      <c r="H219" s="301"/>
      <c r="I219" s="302"/>
      <c r="J219" s="301"/>
      <c r="K219" s="303"/>
      <c r="L219" s="303"/>
      <c r="M219" s="301"/>
      <c r="N219" s="303"/>
      <c r="O219" s="301"/>
      <c r="P219" s="304"/>
      <c r="Q219" s="301"/>
      <c r="R219" s="301"/>
      <c r="S219" s="301"/>
      <c r="T219" s="301"/>
    </row>
    <row r="220" spans="1:20" s="19" customFormat="1" ht="66.75" customHeight="1" x14ac:dyDescent="0.3">
      <c r="A220" s="889" t="s">
        <v>5</v>
      </c>
      <c r="B220" s="761" t="s">
        <v>663</v>
      </c>
      <c r="C220" s="761" t="s">
        <v>664</v>
      </c>
      <c r="D220" s="761" t="s">
        <v>665</v>
      </c>
      <c r="E220" s="761"/>
      <c r="F220" s="761"/>
      <c r="G220" s="761"/>
      <c r="H220" s="761" t="s">
        <v>666</v>
      </c>
      <c r="I220" s="760" t="s">
        <v>667</v>
      </c>
      <c r="J220" s="760"/>
      <c r="K220" s="760"/>
      <c r="L220" s="762" t="s">
        <v>668</v>
      </c>
      <c r="M220" s="762"/>
      <c r="N220" s="761" t="s">
        <v>43</v>
      </c>
      <c r="O220" s="761" t="s">
        <v>669</v>
      </c>
      <c r="P220" s="763" t="s">
        <v>670</v>
      </c>
      <c r="Q220" s="763" t="s">
        <v>42</v>
      </c>
      <c r="R220" s="761" t="s">
        <v>671</v>
      </c>
      <c r="S220" s="761" t="s">
        <v>44</v>
      </c>
      <c r="T220" s="761" t="s">
        <v>15</v>
      </c>
    </row>
    <row r="221" spans="1:20" s="19" customFormat="1" ht="81.75" customHeight="1" x14ac:dyDescent="0.3">
      <c r="A221" s="890"/>
      <c r="B221" s="761"/>
      <c r="C221" s="761"/>
      <c r="D221" s="407" t="s">
        <v>672</v>
      </c>
      <c r="E221" s="407" t="s">
        <v>673</v>
      </c>
      <c r="F221" s="407" t="s">
        <v>759</v>
      </c>
      <c r="G221" s="407" t="s">
        <v>17</v>
      </c>
      <c r="H221" s="761"/>
      <c r="I221" s="420" t="s">
        <v>674</v>
      </c>
      <c r="J221" s="418" t="s">
        <v>675</v>
      </c>
      <c r="K221" s="419" t="s">
        <v>676</v>
      </c>
      <c r="L221" s="419" t="s">
        <v>677</v>
      </c>
      <c r="M221" s="134" t="s">
        <v>678</v>
      </c>
      <c r="N221" s="761"/>
      <c r="O221" s="761"/>
      <c r="P221" s="763"/>
      <c r="Q221" s="763"/>
      <c r="R221" s="761"/>
      <c r="S221" s="761"/>
      <c r="T221" s="761"/>
    </row>
    <row r="222" spans="1:20" s="19" customFormat="1" ht="112.5" customHeight="1" x14ac:dyDescent="0.3">
      <c r="A222" s="226" t="s">
        <v>19</v>
      </c>
      <c r="B222" s="227" t="s">
        <v>679</v>
      </c>
      <c r="C222" s="228" t="s">
        <v>774</v>
      </c>
      <c r="D222" s="418" t="s">
        <v>613</v>
      </c>
      <c r="E222" s="418" t="s">
        <v>757</v>
      </c>
      <c r="F222" s="419">
        <v>31.8</v>
      </c>
      <c r="G222" s="420" t="s">
        <v>681</v>
      </c>
      <c r="H222" s="420" t="s">
        <v>771</v>
      </c>
      <c r="I222" s="420">
        <v>31.8</v>
      </c>
      <c r="J222" s="419">
        <v>0</v>
      </c>
      <c r="K222" s="419">
        <f>I222+J222</f>
        <v>31.8</v>
      </c>
      <c r="L222" s="419">
        <v>0</v>
      </c>
      <c r="M222" s="134"/>
      <c r="N222" s="260">
        <v>1</v>
      </c>
      <c r="O222" s="423">
        <v>1</v>
      </c>
      <c r="P222" s="231">
        <v>867000</v>
      </c>
      <c r="Q222" s="231">
        <f>+ROUND((P222*N222*K222),-3)</f>
        <v>27571000</v>
      </c>
      <c r="R222" s="231">
        <f>-ROUND((38000*J222*0.5%),-3)</f>
        <v>0</v>
      </c>
      <c r="S222" s="408">
        <f>+Q222+R222</f>
        <v>27571000</v>
      </c>
      <c r="T222" s="309" t="s">
        <v>833</v>
      </c>
    </row>
    <row r="223" spans="1:20" s="19" customFormat="1" ht="19.5" x14ac:dyDescent="0.3">
      <c r="A223" s="97" t="s">
        <v>28</v>
      </c>
      <c r="B223" s="98" t="s">
        <v>141</v>
      </c>
      <c r="C223" s="99"/>
      <c r="D223" s="99"/>
      <c r="E223" s="99"/>
      <c r="F223" s="99"/>
      <c r="G223" s="99"/>
      <c r="H223" s="99"/>
      <c r="I223" s="128"/>
      <c r="J223" s="99"/>
      <c r="K223" s="100"/>
      <c r="L223" s="100"/>
      <c r="M223" s="99"/>
      <c r="N223" s="100"/>
      <c r="O223" s="99"/>
      <c r="P223" s="101"/>
      <c r="Q223" s="102"/>
      <c r="R223" s="102"/>
      <c r="S223" s="103">
        <v>0</v>
      </c>
      <c r="T223" s="99"/>
    </row>
    <row r="224" spans="1:20" s="19" customFormat="1" ht="30" customHeight="1" x14ac:dyDescent="0.3">
      <c r="A224" s="272" t="s">
        <v>56</v>
      </c>
      <c r="B224" s="273" t="s">
        <v>159</v>
      </c>
      <c r="C224" s="233"/>
      <c r="D224" s="233"/>
      <c r="E224" s="233"/>
      <c r="F224" s="233"/>
      <c r="G224" s="233"/>
      <c r="H224" s="233"/>
      <c r="I224" s="234"/>
      <c r="J224" s="233"/>
      <c r="K224" s="235"/>
      <c r="L224" s="235"/>
      <c r="M224" s="233"/>
      <c r="N224" s="235"/>
      <c r="O224" s="233"/>
      <c r="P224" s="236"/>
      <c r="Q224" s="233"/>
      <c r="R224" s="233"/>
      <c r="S224" s="203">
        <f>S236</f>
        <v>23773000</v>
      </c>
      <c r="T224" s="233"/>
    </row>
    <row r="225" spans="1:20" s="19" customFormat="1" ht="18" customHeight="1" x14ac:dyDescent="0.3">
      <c r="A225" s="765"/>
      <c r="B225" s="767" t="s">
        <v>51</v>
      </c>
      <c r="C225" s="767" t="s">
        <v>58</v>
      </c>
      <c r="D225" s="768" t="s">
        <v>59</v>
      </c>
      <c r="E225" s="769" t="s">
        <v>60</v>
      </c>
      <c r="F225" s="769" t="s">
        <v>61</v>
      </c>
      <c r="G225" s="769" t="s">
        <v>62</v>
      </c>
      <c r="H225" s="769" t="s">
        <v>63</v>
      </c>
      <c r="I225" s="770" t="s">
        <v>64</v>
      </c>
      <c r="J225" s="757"/>
      <c r="K225" s="757"/>
      <c r="L225" s="757"/>
      <c r="M225" s="758"/>
      <c r="N225" s="771" t="s">
        <v>3</v>
      </c>
      <c r="O225" s="771" t="s">
        <v>65</v>
      </c>
      <c r="P225" s="771" t="s">
        <v>66</v>
      </c>
      <c r="Q225" s="771" t="s">
        <v>67</v>
      </c>
      <c r="R225" s="767" t="s">
        <v>68</v>
      </c>
      <c r="S225" s="767" t="s">
        <v>69</v>
      </c>
      <c r="T225" s="767" t="s">
        <v>70</v>
      </c>
    </row>
    <row r="226" spans="1:20" s="19" customFormat="1" ht="18" customHeight="1" x14ac:dyDescent="0.3">
      <c r="A226" s="766"/>
      <c r="B226" s="766"/>
      <c r="C226" s="766"/>
      <c r="D226" s="766"/>
      <c r="E226" s="766"/>
      <c r="F226" s="766"/>
      <c r="G226" s="766"/>
      <c r="H226" s="766"/>
      <c r="I226" s="168" t="s">
        <v>71</v>
      </c>
      <c r="J226" s="159" t="s">
        <v>72</v>
      </c>
      <c r="K226" s="159" t="s">
        <v>73</v>
      </c>
      <c r="L226" s="45" t="s">
        <v>74</v>
      </c>
      <c r="M226" s="204" t="s">
        <v>75</v>
      </c>
      <c r="N226" s="766"/>
      <c r="O226" s="766"/>
      <c r="P226" s="766"/>
      <c r="Q226" s="766"/>
      <c r="R226" s="766"/>
      <c r="S226" s="766"/>
      <c r="T226" s="766"/>
    </row>
    <row r="227" spans="1:20" s="19" customFormat="1" ht="95.25" customHeight="1" x14ac:dyDescent="0.3">
      <c r="A227" s="196" t="s">
        <v>5</v>
      </c>
      <c r="B227" s="49" t="s">
        <v>76</v>
      </c>
      <c r="C227" s="49" t="s">
        <v>77</v>
      </c>
      <c r="D227" s="49" t="s">
        <v>78</v>
      </c>
      <c r="E227" s="159" t="s">
        <v>79</v>
      </c>
      <c r="F227" s="159" t="s">
        <v>80</v>
      </c>
      <c r="G227" s="159" t="s">
        <v>81</v>
      </c>
      <c r="H227" s="45" t="s">
        <v>82</v>
      </c>
      <c r="I227" s="168" t="s">
        <v>83</v>
      </c>
      <c r="J227" s="242" t="s">
        <v>84</v>
      </c>
      <c r="K227" s="242" t="s">
        <v>85</v>
      </c>
      <c r="L227" s="49" t="s">
        <v>86</v>
      </c>
      <c r="M227" s="204" t="s">
        <v>87</v>
      </c>
      <c r="N227" s="159" t="s">
        <v>88</v>
      </c>
      <c r="O227" s="159" t="s">
        <v>89</v>
      </c>
      <c r="P227" s="159" t="s">
        <v>90</v>
      </c>
      <c r="Q227" s="159" t="s">
        <v>91</v>
      </c>
      <c r="R227" s="159" t="s">
        <v>92</v>
      </c>
      <c r="S227" s="159" t="s">
        <v>964</v>
      </c>
      <c r="T227" s="159" t="s">
        <v>15</v>
      </c>
    </row>
    <row r="228" spans="1:20" s="19" customFormat="1" ht="56.25" x14ac:dyDescent="0.3">
      <c r="A228" s="511" t="s">
        <v>19</v>
      </c>
      <c r="B228" s="512" t="s">
        <v>120</v>
      </c>
      <c r="C228" s="512" t="s">
        <v>284</v>
      </c>
      <c r="D228" s="513" t="s">
        <v>241</v>
      </c>
      <c r="E228" s="514" t="s">
        <v>285</v>
      </c>
      <c r="F228" s="515"/>
      <c r="G228" s="516">
        <v>11</v>
      </c>
      <c r="H228" s="517" t="s">
        <v>95</v>
      </c>
      <c r="I228" s="518">
        <f>4.9*5.2</f>
        <v>25.480000000000004</v>
      </c>
      <c r="J228" s="519" t="s">
        <v>96</v>
      </c>
      <c r="K228" s="517">
        <f>+I228-J228</f>
        <v>25.480000000000004</v>
      </c>
      <c r="L228" s="520">
        <v>0.99199999999999999</v>
      </c>
      <c r="M228" s="521">
        <v>268000</v>
      </c>
      <c r="N228" s="522">
        <v>0.6</v>
      </c>
      <c r="O228" s="521">
        <f t="shared" ref="O228:O234" si="32">+M228</f>
        <v>268000</v>
      </c>
      <c r="P228" s="523">
        <f t="shared" ref="P228:P235" si="33">+ROUND((K228*L228*O228*N228),-3)</f>
        <v>4064000</v>
      </c>
      <c r="Q228" s="521" t="s">
        <v>97</v>
      </c>
      <c r="R228" s="521" t="s">
        <v>97</v>
      </c>
      <c r="S228" s="523">
        <f t="shared" ref="S228:S235" si="34">P228</f>
        <v>4064000</v>
      </c>
      <c r="T228" s="517" t="s">
        <v>166</v>
      </c>
    </row>
    <row r="229" spans="1:20" s="19" customFormat="1" ht="114.75" customHeight="1" x14ac:dyDescent="0.3">
      <c r="A229" s="511" t="s">
        <v>98</v>
      </c>
      <c r="B229" s="512" t="s">
        <v>286</v>
      </c>
      <c r="C229" s="512" t="s">
        <v>848</v>
      </c>
      <c r="D229" s="514" t="s">
        <v>217</v>
      </c>
      <c r="E229" s="514" t="s">
        <v>285</v>
      </c>
      <c r="F229" s="515"/>
      <c r="G229" s="516">
        <v>11</v>
      </c>
      <c r="H229" s="517" t="s">
        <v>95</v>
      </c>
      <c r="I229" s="518"/>
      <c r="J229" s="519" t="s">
        <v>96</v>
      </c>
      <c r="K229" s="524">
        <f>(1*1*0.15)*5</f>
        <v>0.75</v>
      </c>
      <c r="L229" s="520">
        <v>0.99199999999999999</v>
      </c>
      <c r="M229" s="521">
        <v>6270000</v>
      </c>
      <c r="N229" s="522">
        <v>0.6</v>
      </c>
      <c r="O229" s="521">
        <f t="shared" si="32"/>
        <v>6270000</v>
      </c>
      <c r="P229" s="523">
        <f t="shared" si="33"/>
        <v>2799000</v>
      </c>
      <c r="Q229" s="521" t="s">
        <v>97</v>
      </c>
      <c r="R229" s="521" t="s">
        <v>97</v>
      </c>
      <c r="S229" s="523">
        <f t="shared" si="34"/>
        <v>2799000</v>
      </c>
      <c r="T229" s="517" t="s">
        <v>318</v>
      </c>
    </row>
    <row r="230" spans="1:20" s="19" customFormat="1" ht="108" customHeight="1" x14ac:dyDescent="0.3">
      <c r="A230" s="511" t="s">
        <v>104</v>
      </c>
      <c r="B230" s="512" t="s">
        <v>925</v>
      </c>
      <c r="C230" s="512" t="s">
        <v>848</v>
      </c>
      <c r="D230" s="514" t="s">
        <v>217</v>
      </c>
      <c r="E230" s="514" t="s">
        <v>285</v>
      </c>
      <c r="F230" s="515"/>
      <c r="G230" s="516">
        <v>11</v>
      </c>
      <c r="H230" s="517" t="s">
        <v>95</v>
      </c>
      <c r="I230" s="518"/>
      <c r="J230" s="519" t="s">
        <v>96</v>
      </c>
      <c r="K230" s="524">
        <f>(1*1*0.15)*5</f>
        <v>0.75</v>
      </c>
      <c r="L230" s="520">
        <v>0.99199999999999999</v>
      </c>
      <c r="M230" s="521">
        <v>6270000</v>
      </c>
      <c r="N230" s="522">
        <v>0.2</v>
      </c>
      <c r="O230" s="521">
        <f t="shared" si="32"/>
        <v>6270000</v>
      </c>
      <c r="P230" s="523">
        <f t="shared" si="33"/>
        <v>933000</v>
      </c>
      <c r="Q230" s="521" t="s">
        <v>97</v>
      </c>
      <c r="R230" s="521" t="s">
        <v>97</v>
      </c>
      <c r="S230" s="523">
        <f t="shared" si="34"/>
        <v>933000</v>
      </c>
      <c r="T230" s="517" t="s">
        <v>926</v>
      </c>
    </row>
    <row r="231" spans="1:20" s="19" customFormat="1" ht="90" customHeight="1" x14ac:dyDescent="0.3">
      <c r="A231" s="511" t="s">
        <v>107</v>
      </c>
      <c r="B231" s="512" t="s">
        <v>126</v>
      </c>
      <c r="C231" s="512" t="s">
        <v>287</v>
      </c>
      <c r="D231" s="514" t="s">
        <v>217</v>
      </c>
      <c r="E231" s="514" t="s">
        <v>285</v>
      </c>
      <c r="F231" s="515"/>
      <c r="G231" s="516">
        <v>11</v>
      </c>
      <c r="H231" s="517" t="s">
        <v>95</v>
      </c>
      <c r="I231" s="518">
        <f>0.3*0.3*10</f>
        <v>0.89999999999999991</v>
      </c>
      <c r="J231" s="519" t="s">
        <v>96</v>
      </c>
      <c r="K231" s="517">
        <f>+I231-J231</f>
        <v>0.89999999999999991</v>
      </c>
      <c r="L231" s="520">
        <v>0.99199999999999999</v>
      </c>
      <c r="M231" s="521">
        <v>2360000</v>
      </c>
      <c r="N231" s="522">
        <v>0.6</v>
      </c>
      <c r="O231" s="521">
        <f t="shared" si="32"/>
        <v>2360000</v>
      </c>
      <c r="P231" s="523">
        <f t="shared" si="33"/>
        <v>1264000</v>
      </c>
      <c r="Q231" s="521" t="s">
        <v>97</v>
      </c>
      <c r="R231" s="521" t="s">
        <v>97</v>
      </c>
      <c r="S231" s="523">
        <f t="shared" si="34"/>
        <v>1264000</v>
      </c>
      <c r="T231" s="517" t="s">
        <v>288</v>
      </c>
    </row>
    <row r="232" spans="1:20" s="19" customFormat="1" ht="37.5" x14ac:dyDescent="0.3">
      <c r="A232" s="511" t="s">
        <v>110</v>
      </c>
      <c r="B232" s="512" t="s">
        <v>99</v>
      </c>
      <c r="C232" s="512" t="s">
        <v>289</v>
      </c>
      <c r="D232" s="514" t="s">
        <v>217</v>
      </c>
      <c r="E232" s="514" t="s">
        <v>285</v>
      </c>
      <c r="F232" s="515"/>
      <c r="G232" s="516">
        <v>11</v>
      </c>
      <c r="H232" s="517" t="s">
        <v>95</v>
      </c>
      <c r="I232" s="518">
        <f>(0.7*0.65*0.65)*2</f>
        <v>0.59149999999999991</v>
      </c>
      <c r="J232" s="519" t="s">
        <v>96</v>
      </c>
      <c r="K232" s="517">
        <f>+I232-J232</f>
        <v>0.59149999999999991</v>
      </c>
      <c r="L232" s="520">
        <v>0.99199999999999999</v>
      </c>
      <c r="M232" s="521">
        <v>9722000</v>
      </c>
      <c r="N232" s="522">
        <v>0.6</v>
      </c>
      <c r="O232" s="521">
        <f t="shared" si="32"/>
        <v>9722000</v>
      </c>
      <c r="P232" s="523">
        <f t="shared" si="33"/>
        <v>3423000</v>
      </c>
      <c r="Q232" s="521" t="s">
        <v>97</v>
      </c>
      <c r="R232" s="521" t="s">
        <v>97</v>
      </c>
      <c r="S232" s="523">
        <f t="shared" si="34"/>
        <v>3423000</v>
      </c>
      <c r="T232" s="517" t="s">
        <v>290</v>
      </c>
    </row>
    <row r="233" spans="1:20" s="19" customFormat="1" ht="37.5" x14ac:dyDescent="0.3">
      <c r="A233" s="511" t="s">
        <v>112</v>
      </c>
      <c r="B233" s="512" t="s">
        <v>291</v>
      </c>
      <c r="C233" s="512" t="s">
        <v>292</v>
      </c>
      <c r="D233" s="514" t="s">
        <v>217</v>
      </c>
      <c r="E233" s="514" t="s">
        <v>285</v>
      </c>
      <c r="F233" s="515"/>
      <c r="G233" s="516">
        <v>11</v>
      </c>
      <c r="H233" s="517" t="s">
        <v>95</v>
      </c>
      <c r="I233" s="518">
        <f>(1.8*0.4*0.4)*2</f>
        <v>0.57600000000000007</v>
      </c>
      <c r="J233" s="519" t="s">
        <v>96</v>
      </c>
      <c r="K233" s="517">
        <f>+I233-J233</f>
        <v>0.57600000000000007</v>
      </c>
      <c r="L233" s="520">
        <v>0.99199999999999999</v>
      </c>
      <c r="M233" s="521">
        <v>3101000</v>
      </c>
      <c r="N233" s="522">
        <v>0.6</v>
      </c>
      <c r="O233" s="521">
        <f t="shared" si="32"/>
        <v>3101000</v>
      </c>
      <c r="P233" s="523">
        <f t="shared" si="33"/>
        <v>1063000</v>
      </c>
      <c r="Q233" s="521" t="s">
        <v>97</v>
      </c>
      <c r="R233" s="521" t="s">
        <v>97</v>
      </c>
      <c r="S233" s="523">
        <f t="shared" si="34"/>
        <v>1063000</v>
      </c>
      <c r="T233" s="517" t="s">
        <v>293</v>
      </c>
    </row>
    <row r="234" spans="1:20" s="19" customFormat="1" ht="37.5" x14ac:dyDescent="0.3">
      <c r="A234" s="511" t="s">
        <v>115</v>
      </c>
      <c r="B234" s="512" t="s">
        <v>105</v>
      </c>
      <c r="C234" s="512" t="s">
        <v>294</v>
      </c>
      <c r="D234" s="513" t="s">
        <v>241</v>
      </c>
      <c r="E234" s="514" t="s">
        <v>285</v>
      </c>
      <c r="F234" s="515"/>
      <c r="G234" s="516">
        <v>11</v>
      </c>
      <c r="H234" s="517" t="s">
        <v>95</v>
      </c>
      <c r="I234" s="518">
        <f>5*2.3</f>
        <v>11.5</v>
      </c>
      <c r="J234" s="519" t="s">
        <v>96</v>
      </c>
      <c r="K234" s="517">
        <f>+I234-J234</f>
        <v>11.5</v>
      </c>
      <c r="L234" s="520">
        <v>0.99199999999999999</v>
      </c>
      <c r="M234" s="521">
        <v>835000</v>
      </c>
      <c r="N234" s="522">
        <v>0.6</v>
      </c>
      <c r="O234" s="521">
        <f t="shared" si="32"/>
        <v>835000</v>
      </c>
      <c r="P234" s="523">
        <f t="shared" si="33"/>
        <v>5715000</v>
      </c>
      <c r="Q234" s="521" t="s">
        <v>97</v>
      </c>
      <c r="R234" s="521" t="s">
        <v>97</v>
      </c>
      <c r="S234" s="523">
        <f t="shared" si="34"/>
        <v>5715000</v>
      </c>
      <c r="T234" s="517" t="s">
        <v>174</v>
      </c>
    </row>
    <row r="235" spans="1:20" s="19" customFormat="1" ht="200.25" customHeight="1" x14ac:dyDescent="0.3">
      <c r="A235" s="511" t="s">
        <v>119</v>
      </c>
      <c r="B235" s="512" t="s">
        <v>295</v>
      </c>
      <c r="C235" s="512" t="s">
        <v>1028</v>
      </c>
      <c r="D235" s="513" t="s">
        <v>241</v>
      </c>
      <c r="E235" s="514" t="s">
        <v>285</v>
      </c>
      <c r="F235" s="515"/>
      <c r="G235" s="516">
        <v>11</v>
      </c>
      <c r="H235" s="517" t="s">
        <v>95</v>
      </c>
      <c r="I235" s="518">
        <f>4.7*1.6</f>
        <v>7.5200000000000005</v>
      </c>
      <c r="J235" s="519" t="s">
        <v>96</v>
      </c>
      <c r="K235" s="517">
        <f>+I235-J235</f>
        <v>7.5200000000000005</v>
      </c>
      <c r="L235" s="520">
        <v>0.99199999999999999</v>
      </c>
      <c r="M235" s="521">
        <v>1400000</v>
      </c>
      <c r="N235" s="522">
        <v>0.6</v>
      </c>
      <c r="O235" s="521">
        <f>+M235*80%*90%</f>
        <v>1008000</v>
      </c>
      <c r="P235" s="523">
        <f t="shared" si="33"/>
        <v>4512000</v>
      </c>
      <c r="Q235" s="521" t="s">
        <v>97</v>
      </c>
      <c r="R235" s="521" t="s">
        <v>97</v>
      </c>
      <c r="S235" s="523">
        <f t="shared" si="34"/>
        <v>4512000</v>
      </c>
      <c r="T235" s="517" t="s">
        <v>206</v>
      </c>
    </row>
    <row r="236" spans="1:20" s="19" customFormat="1" ht="30" customHeight="1" x14ac:dyDescent="0.3">
      <c r="A236" s="313"/>
      <c r="B236" s="166" t="s">
        <v>55</v>
      </c>
      <c r="C236" s="166"/>
      <c r="D236" s="159"/>
      <c r="E236" s="159"/>
      <c r="F236" s="167"/>
      <c r="G236" s="167"/>
      <c r="H236" s="167"/>
      <c r="I236" s="168"/>
      <c r="J236" s="167"/>
      <c r="K236" s="167"/>
      <c r="L236" s="167"/>
      <c r="M236" s="167"/>
      <c r="N236" s="167"/>
      <c r="O236" s="167"/>
      <c r="P236" s="167"/>
      <c r="Q236" s="167"/>
      <c r="R236" s="167"/>
      <c r="S236" s="45">
        <f>SUM(S228:S235)</f>
        <v>23773000</v>
      </c>
      <c r="T236" s="167"/>
    </row>
    <row r="237" spans="1:20" s="19" customFormat="1" ht="30" customHeight="1" x14ac:dyDescent="0.3">
      <c r="A237" s="171" t="s">
        <v>131</v>
      </c>
      <c r="B237" s="172" t="s">
        <v>132</v>
      </c>
      <c r="C237" s="173"/>
      <c r="D237" s="466"/>
      <c r="E237" s="466"/>
      <c r="F237" s="466"/>
      <c r="G237" s="466"/>
      <c r="H237" s="466"/>
      <c r="I237" s="467"/>
      <c r="J237" s="466"/>
      <c r="K237" s="468"/>
      <c r="L237" s="468"/>
      <c r="M237" s="466"/>
      <c r="N237" s="468"/>
      <c r="O237" s="466"/>
      <c r="P237" s="469"/>
      <c r="Q237" s="466"/>
      <c r="R237" s="466"/>
      <c r="S237" s="470"/>
      <c r="T237" s="466"/>
    </row>
    <row r="238" spans="1:20" s="19" customFormat="1" ht="30" customHeight="1" x14ac:dyDescent="0.3">
      <c r="A238" s="171" t="s">
        <v>133</v>
      </c>
      <c r="B238" s="172" t="s">
        <v>134</v>
      </c>
      <c r="C238" s="174"/>
      <c r="D238" s="174"/>
      <c r="E238" s="174"/>
      <c r="F238" s="174"/>
      <c r="G238" s="174"/>
      <c r="H238" s="174"/>
      <c r="I238" s="175"/>
      <c r="J238" s="174"/>
      <c r="K238" s="176"/>
      <c r="L238" s="176"/>
      <c r="M238" s="174"/>
      <c r="N238" s="176"/>
      <c r="O238" s="174"/>
      <c r="P238" s="177"/>
      <c r="Q238" s="174"/>
      <c r="R238" s="174"/>
      <c r="S238" s="174"/>
      <c r="T238" s="174"/>
    </row>
    <row r="239" spans="1:20" s="19" customFormat="1" ht="30" customHeight="1" x14ac:dyDescent="0.3">
      <c r="A239" s="178" t="s">
        <v>135</v>
      </c>
      <c r="B239" s="756" t="s">
        <v>296</v>
      </c>
      <c r="C239" s="757"/>
      <c r="D239" s="757"/>
      <c r="E239" s="757"/>
      <c r="F239" s="757"/>
      <c r="G239" s="757"/>
      <c r="H239" s="757"/>
      <c r="I239" s="757"/>
      <c r="J239" s="757"/>
      <c r="K239" s="757"/>
      <c r="L239" s="757"/>
      <c r="M239" s="757"/>
      <c r="N239" s="757"/>
      <c r="O239" s="757"/>
      <c r="P239" s="757"/>
      <c r="Q239" s="757"/>
      <c r="R239" s="758"/>
      <c r="S239" s="29">
        <f>+S236</f>
        <v>23773000</v>
      </c>
      <c r="T239" s="174" t="s">
        <v>137</v>
      </c>
    </row>
    <row r="240" spans="1:20" ht="31.5" customHeight="1" x14ac:dyDescent="0.3">
      <c r="A240" s="474"/>
      <c r="B240" s="829" t="s">
        <v>297</v>
      </c>
      <c r="C240" s="773"/>
      <c r="D240" s="773"/>
      <c r="E240" s="773"/>
      <c r="F240" s="773"/>
      <c r="G240" s="773"/>
      <c r="H240" s="773"/>
      <c r="I240" s="773"/>
      <c r="J240" s="773"/>
      <c r="K240" s="773"/>
      <c r="L240" s="773"/>
      <c r="M240" s="773"/>
      <c r="N240" s="773"/>
      <c r="O240" s="773"/>
      <c r="P240" s="773"/>
      <c r="Q240" s="773"/>
      <c r="R240" s="773"/>
      <c r="S240" s="773"/>
      <c r="T240" s="474"/>
    </row>
    <row r="241" spans="1:20" ht="18.75" customHeight="1" x14ac:dyDescent="0.3">
      <c r="A241" s="474"/>
      <c r="B241" s="772" t="s">
        <v>1</v>
      </c>
      <c r="C241" s="773"/>
      <c r="D241" s="773"/>
      <c r="E241" s="773"/>
      <c r="F241" s="773"/>
      <c r="G241" s="773"/>
      <c r="H241" s="773"/>
      <c r="I241" s="773"/>
      <c r="J241" s="773"/>
      <c r="K241" s="773"/>
      <c r="L241" s="773"/>
      <c r="M241" s="773"/>
      <c r="N241" s="773"/>
      <c r="O241" s="773"/>
      <c r="P241" s="773"/>
      <c r="Q241" s="773"/>
      <c r="R241" s="773"/>
      <c r="S241" s="773"/>
      <c r="T241" s="474"/>
    </row>
    <row r="242" spans="1:20" ht="18.75" customHeight="1" x14ac:dyDescent="0.3">
      <c r="A242" s="474"/>
      <c r="B242" s="772" t="s">
        <v>2</v>
      </c>
      <c r="C242" s="773"/>
      <c r="D242" s="773"/>
      <c r="E242" s="773"/>
      <c r="F242" s="773"/>
      <c r="G242" s="773"/>
      <c r="H242" s="773"/>
      <c r="I242" s="773"/>
      <c r="J242" s="773"/>
      <c r="K242" s="773"/>
      <c r="L242" s="773"/>
      <c r="M242" s="773"/>
      <c r="N242" s="773"/>
      <c r="O242" s="773"/>
      <c r="P242" s="773"/>
      <c r="Q242" s="773"/>
      <c r="R242" s="773"/>
      <c r="S242" s="773"/>
      <c r="T242" s="474"/>
    </row>
    <row r="243" spans="1:20" ht="18.75" customHeight="1" x14ac:dyDescent="0.3">
      <c r="A243" s="475"/>
      <c r="B243" s="809" t="str">
        <f>B213</f>
        <v>(Kèm theo Quyết định số     /QĐ-UBND ngày     tháng     năm 2026 của Ủy ban nhân dân xã Thuận An)</v>
      </c>
      <c r="C243" s="773"/>
      <c r="D243" s="773"/>
      <c r="E243" s="773"/>
      <c r="F243" s="773"/>
      <c r="G243" s="773"/>
      <c r="H243" s="773"/>
      <c r="I243" s="773"/>
      <c r="J243" s="773"/>
      <c r="K243" s="773"/>
      <c r="L243" s="773"/>
      <c r="M243" s="773"/>
      <c r="N243" s="773"/>
      <c r="O243" s="773"/>
      <c r="P243" s="773"/>
      <c r="Q243" s="773"/>
      <c r="R243" s="773"/>
      <c r="S243" s="773"/>
      <c r="T243" s="475"/>
    </row>
    <row r="244" spans="1:20" s="19" customFormat="1" ht="18.75" customHeight="1" thickBot="1" x14ac:dyDescent="0.35">
      <c r="A244" s="272" t="s">
        <v>3</v>
      </c>
      <c r="B244" s="273" t="s">
        <v>4</v>
      </c>
      <c r="C244" s="233"/>
      <c r="D244" s="233"/>
      <c r="E244" s="233"/>
      <c r="F244" s="233"/>
      <c r="G244" s="233"/>
      <c r="H244" s="233"/>
      <c r="I244" s="234"/>
      <c r="J244" s="233"/>
      <c r="K244" s="235"/>
      <c r="L244" s="235"/>
      <c r="M244" s="233"/>
      <c r="N244" s="235"/>
      <c r="O244" s="233"/>
      <c r="P244" s="236"/>
      <c r="Q244" s="233"/>
      <c r="R244" s="233"/>
      <c r="S244" s="237"/>
      <c r="T244" s="233"/>
    </row>
    <row r="245" spans="1:20" s="19" customFormat="1" ht="63" customHeight="1" x14ac:dyDescent="0.3">
      <c r="A245" s="810" t="s">
        <v>5</v>
      </c>
      <c r="B245" s="814" t="s">
        <v>6</v>
      </c>
      <c r="C245" s="778" t="s">
        <v>7</v>
      </c>
      <c r="D245" s="778" t="s">
        <v>959</v>
      </c>
      <c r="E245" s="777"/>
      <c r="F245" s="777"/>
      <c r="G245" s="778" t="s">
        <v>960</v>
      </c>
      <c r="H245" s="777"/>
      <c r="I245" s="777"/>
      <c r="J245" s="778" t="s">
        <v>961</v>
      </c>
      <c r="K245" s="777"/>
      <c r="L245" s="777"/>
      <c r="M245" s="779" t="s">
        <v>8</v>
      </c>
      <c r="N245" s="779" t="s">
        <v>9</v>
      </c>
      <c r="O245" s="779" t="s">
        <v>10</v>
      </c>
      <c r="P245" s="780" t="s">
        <v>11</v>
      </c>
      <c r="Q245" s="780" t="s">
        <v>12</v>
      </c>
      <c r="R245" s="780" t="s">
        <v>13</v>
      </c>
      <c r="S245" s="778" t="s">
        <v>14</v>
      </c>
      <c r="T245" s="881" t="s">
        <v>15</v>
      </c>
    </row>
    <row r="246" spans="1:20" s="19" customFormat="1" ht="59.25" customHeight="1" x14ac:dyDescent="0.3">
      <c r="A246" s="811"/>
      <c r="B246" s="815"/>
      <c r="C246" s="777"/>
      <c r="D246" s="778" t="s">
        <v>16</v>
      </c>
      <c r="E246" s="778" t="s">
        <v>17</v>
      </c>
      <c r="F246" s="777"/>
      <c r="G246" s="778" t="s">
        <v>16</v>
      </c>
      <c r="H246" s="778" t="s">
        <v>17</v>
      </c>
      <c r="I246" s="777"/>
      <c r="J246" s="776" t="s">
        <v>18</v>
      </c>
      <c r="K246" s="778" t="s">
        <v>17</v>
      </c>
      <c r="L246" s="777"/>
      <c r="M246" s="777"/>
      <c r="N246" s="777"/>
      <c r="O246" s="777"/>
      <c r="P246" s="777"/>
      <c r="Q246" s="777"/>
      <c r="R246" s="777"/>
      <c r="S246" s="777"/>
      <c r="T246" s="882"/>
    </row>
    <row r="247" spans="1:20" s="19" customFormat="1" ht="65.25" customHeight="1" x14ac:dyDescent="0.3">
      <c r="A247" s="801"/>
      <c r="B247" s="816"/>
      <c r="C247" s="777"/>
      <c r="D247" s="777"/>
      <c r="E247" s="415" t="s">
        <v>962</v>
      </c>
      <c r="F247" s="415" t="s">
        <v>963</v>
      </c>
      <c r="G247" s="777"/>
      <c r="H247" s="415" t="s">
        <v>962</v>
      </c>
      <c r="I247" s="189" t="s">
        <v>963</v>
      </c>
      <c r="J247" s="777"/>
      <c r="K247" s="415" t="s">
        <v>962</v>
      </c>
      <c r="L247" s="415" t="s">
        <v>963</v>
      </c>
      <c r="M247" s="777"/>
      <c r="N247" s="777"/>
      <c r="O247" s="777"/>
      <c r="P247" s="777"/>
      <c r="Q247" s="777"/>
      <c r="R247" s="777"/>
      <c r="S247" s="777"/>
      <c r="T247" s="883"/>
    </row>
    <row r="248" spans="1:20" s="19" customFormat="1" ht="119.25" customHeight="1" x14ac:dyDescent="0.3">
      <c r="A248" s="179" t="s">
        <v>112</v>
      </c>
      <c r="B248" s="346" t="s">
        <v>298</v>
      </c>
      <c r="C248" s="424" t="s">
        <v>299</v>
      </c>
      <c r="D248" s="191">
        <f>E248+F248</f>
        <v>6815.9</v>
      </c>
      <c r="E248" s="191">
        <f>114.8+101.1+100</f>
        <v>315.89999999999998</v>
      </c>
      <c r="F248" s="191">
        <v>6500</v>
      </c>
      <c r="G248" s="191">
        <f>100+586.9</f>
        <v>686.9</v>
      </c>
      <c r="H248" s="191">
        <v>100</v>
      </c>
      <c r="I248" s="192">
        <f>G248-H248</f>
        <v>586.9</v>
      </c>
      <c r="J248" s="191">
        <v>35.5</v>
      </c>
      <c r="K248" s="191">
        <v>0</v>
      </c>
      <c r="L248" s="191">
        <f>+J248-K248</f>
        <v>35.5</v>
      </c>
      <c r="M248" s="193">
        <v>0</v>
      </c>
      <c r="N248" s="314">
        <f>(L248/F248)*100%</f>
        <v>5.4615384615384613E-3</v>
      </c>
      <c r="O248" s="248" t="s">
        <v>21</v>
      </c>
      <c r="P248" s="195" t="s">
        <v>140</v>
      </c>
      <c r="Q248" s="195" t="s">
        <v>23</v>
      </c>
      <c r="R248" s="248" t="s">
        <v>24</v>
      </c>
      <c r="S248" s="248" t="s">
        <v>25</v>
      </c>
      <c r="T248" s="348" t="s">
        <v>300</v>
      </c>
    </row>
    <row r="249" spans="1:20" s="19" customFormat="1" ht="22.5" customHeight="1" x14ac:dyDescent="0.3">
      <c r="A249" s="272" t="s">
        <v>27</v>
      </c>
      <c r="B249" s="273" t="s">
        <v>777</v>
      </c>
      <c r="C249" s="301"/>
      <c r="D249" s="301"/>
      <c r="E249" s="301"/>
      <c r="F249" s="301"/>
      <c r="G249" s="301"/>
      <c r="H249" s="301"/>
      <c r="I249" s="302"/>
      <c r="J249" s="301"/>
      <c r="K249" s="303"/>
      <c r="L249" s="303"/>
      <c r="M249" s="301"/>
      <c r="N249" s="303"/>
      <c r="O249" s="301"/>
      <c r="P249" s="304"/>
      <c r="Q249" s="301"/>
      <c r="R249" s="301"/>
      <c r="S249" s="301"/>
      <c r="T249" s="233"/>
    </row>
    <row r="250" spans="1:20" s="19" customFormat="1" ht="56.25" customHeight="1" x14ac:dyDescent="0.3">
      <c r="A250" s="781" t="s">
        <v>5</v>
      </c>
      <c r="B250" s="788" t="s">
        <v>663</v>
      </c>
      <c r="C250" s="761" t="s">
        <v>664</v>
      </c>
      <c r="D250" s="761" t="s">
        <v>665</v>
      </c>
      <c r="E250" s="761"/>
      <c r="F250" s="761"/>
      <c r="G250" s="761"/>
      <c r="H250" s="761" t="s">
        <v>666</v>
      </c>
      <c r="I250" s="760" t="s">
        <v>667</v>
      </c>
      <c r="J250" s="760"/>
      <c r="K250" s="760"/>
      <c r="L250" s="762" t="s">
        <v>668</v>
      </c>
      <c r="M250" s="762"/>
      <c r="N250" s="761" t="s">
        <v>43</v>
      </c>
      <c r="O250" s="761" t="s">
        <v>669</v>
      </c>
      <c r="P250" s="763" t="s">
        <v>670</v>
      </c>
      <c r="Q250" s="763" t="s">
        <v>42</v>
      </c>
      <c r="R250" s="761" t="s">
        <v>671</v>
      </c>
      <c r="S250" s="761" t="s">
        <v>44</v>
      </c>
      <c r="T250" s="879" t="s">
        <v>15</v>
      </c>
    </row>
    <row r="251" spans="1:20" s="19" customFormat="1" ht="86.25" customHeight="1" x14ac:dyDescent="0.3">
      <c r="A251" s="782"/>
      <c r="B251" s="789"/>
      <c r="C251" s="761"/>
      <c r="D251" s="407" t="s">
        <v>672</v>
      </c>
      <c r="E251" s="407" t="s">
        <v>673</v>
      </c>
      <c r="F251" s="407" t="s">
        <v>759</v>
      </c>
      <c r="G251" s="407" t="s">
        <v>17</v>
      </c>
      <c r="H251" s="761"/>
      <c r="I251" s="420" t="s">
        <v>674</v>
      </c>
      <c r="J251" s="418" t="s">
        <v>675</v>
      </c>
      <c r="K251" s="419" t="s">
        <v>676</v>
      </c>
      <c r="L251" s="419" t="s">
        <v>677</v>
      </c>
      <c r="M251" s="134" t="s">
        <v>678</v>
      </c>
      <c r="N251" s="761"/>
      <c r="O251" s="761"/>
      <c r="P251" s="763"/>
      <c r="Q251" s="763"/>
      <c r="R251" s="761"/>
      <c r="S251" s="761"/>
      <c r="T251" s="880"/>
    </row>
    <row r="252" spans="1:20" s="19" customFormat="1" ht="102.75" customHeight="1" x14ac:dyDescent="0.3">
      <c r="A252" s="226" t="s">
        <v>19</v>
      </c>
      <c r="B252" s="347" t="s">
        <v>679</v>
      </c>
      <c r="C252" s="228" t="s">
        <v>775</v>
      </c>
      <c r="D252" s="418" t="s">
        <v>389</v>
      </c>
      <c r="E252" s="418" t="s">
        <v>757</v>
      </c>
      <c r="F252" s="419">
        <v>35.5</v>
      </c>
      <c r="G252" s="420" t="s">
        <v>681</v>
      </c>
      <c r="H252" s="420" t="s">
        <v>776</v>
      </c>
      <c r="I252" s="420">
        <v>20.100000000000001</v>
      </c>
      <c r="J252" s="419">
        <v>0</v>
      </c>
      <c r="K252" s="419">
        <f>I252+J252</f>
        <v>20.100000000000001</v>
      </c>
      <c r="L252" s="419">
        <v>15.4</v>
      </c>
      <c r="M252" s="134" t="s">
        <v>734</v>
      </c>
      <c r="N252" s="260">
        <v>1</v>
      </c>
      <c r="O252" s="423">
        <v>1</v>
      </c>
      <c r="P252" s="231">
        <v>867000</v>
      </c>
      <c r="Q252" s="231">
        <f>+ROUND((P252*N252*K252),-3)</f>
        <v>17427000</v>
      </c>
      <c r="R252" s="231">
        <f>-ROUND((38000*J252*0.5%),-3)</f>
        <v>0</v>
      </c>
      <c r="S252" s="408">
        <f>+Q252+R252</f>
        <v>17427000</v>
      </c>
      <c r="T252" s="349" t="s">
        <v>833</v>
      </c>
    </row>
    <row r="253" spans="1:20" s="19" customFormat="1" ht="40.5" customHeight="1" x14ac:dyDescent="0.3">
      <c r="A253" s="272" t="s">
        <v>28</v>
      </c>
      <c r="B253" s="273" t="s">
        <v>141</v>
      </c>
      <c r="C253" s="233"/>
      <c r="D253" s="233"/>
      <c r="E253" s="233"/>
      <c r="F253" s="233"/>
      <c r="G253" s="233"/>
      <c r="H253" s="233"/>
      <c r="I253" s="234"/>
      <c r="J253" s="233"/>
      <c r="K253" s="235"/>
      <c r="L253" s="235"/>
      <c r="M253" s="233"/>
      <c r="N253" s="235"/>
      <c r="O253" s="233"/>
      <c r="P253" s="236"/>
      <c r="Q253" s="237"/>
      <c r="R253" s="237"/>
      <c r="S253" s="238">
        <f>S258</f>
        <v>698000</v>
      </c>
      <c r="T253" s="233"/>
    </row>
    <row r="254" spans="1:20" s="19" customFormat="1" ht="48.75" customHeight="1" x14ac:dyDescent="0.3">
      <c r="A254" s="800" t="s">
        <v>5</v>
      </c>
      <c r="B254" s="802" t="s">
        <v>30</v>
      </c>
      <c r="C254" s="802" t="s">
        <v>31</v>
      </c>
      <c r="D254" s="802" t="s">
        <v>32</v>
      </c>
      <c r="E254" s="803" t="s">
        <v>33</v>
      </c>
      <c r="F254" s="758"/>
      <c r="G254" s="802" t="s">
        <v>34</v>
      </c>
      <c r="H254" s="802" t="s">
        <v>35</v>
      </c>
      <c r="I254" s="804" t="s">
        <v>36</v>
      </c>
      <c r="J254" s="758"/>
      <c r="K254" s="769" t="s">
        <v>37</v>
      </c>
      <c r="L254" s="769" t="s">
        <v>38</v>
      </c>
      <c r="M254" s="805" t="s">
        <v>39</v>
      </c>
      <c r="N254" s="802" t="s">
        <v>839</v>
      </c>
      <c r="O254" s="802" t="s">
        <v>967</v>
      </c>
      <c r="P254" s="806" t="s">
        <v>41</v>
      </c>
      <c r="Q254" s="806" t="s">
        <v>42</v>
      </c>
      <c r="R254" s="802" t="s">
        <v>43</v>
      </c>
      <c r="S254" s="802" t="s">
        <v>44</v>
      </c>
      <c r="T254" s="807" t="s">
        <v>15</v>
      </c>
    </row>
    <row r="255" spans="1:20" s="19" customFormat="1" ht="54.75" customHeight="1" x14ac:dyDescent="0.3">
      <c r="A255" s="801"/>
      <c r="B255" s="766"/>
      <c r="C255" s="766"/>
      <c r="D255" s="766"/>
      <c r="E255" s="167" t="s">
        <v>45</v>
      </c>
      <c r="F255" s="167" t="s">
        <v>46</v>
      </c>
      <c r="G255" s="766"/>
      <c r="H255" s="766"/>
      <c r="I255" s="140" t="s">
        <v>47</v>
      </c>
      <c r="J255" s="143" t="s">
        <v>48</v>
      </c>
      <c r="K255" s="766"/>
      <c r="L255" s="766"/>
      <c r="M255" s="766"/>
      <c r="N255" s="766"/>
      <c r="O255" s="766"/>
      <c r="P255" s="766"/>
      <c r="Q255" s="766"/>
      <c r="R255" s="766"/>
      <c r="S255" s="766"/>
      <c r="T255" s="808"/>
    </row>
    <row r="256" spans="1:20" s="19" customFormat="1" ht="54.75" customHeight="1" x14ac:dyDescent="0.3">
      <c r="A256" s="406"/>
      <c r="B256" s="131" t="s">
        <v>852</v>
      </c>
      <c r="C256" s="414"/>
      <c r="D256" s="414"/>
      <c r="E256" s="167"/>
      <c r="F256" s="167"/>
      <c r="G256" s="414"/>
      <c r="H256" s="414"/>
      <c r="I256" s="140"/>
      <c r="J256" s="143"/>
      <c r="K256" s="414"/>
      <c r="L256" s="414"/>
      <c r="M256" s="414"/>
      <c r="N256" s="414"/>
      <c r="O256" s="414"/>
      <c r="P256" s="414"/>
      <c r="Q256" s="414"/>
      <c r="R256" s="414"/>
      <c r="S256" s="414"/>
      <c r="T256" s="416"/>
    </row>
    <row r="257" spans="1:20" s="19" customFormat="1" ht="52.5" customHeight="1" x14ac:dyDescent="0.3">
      <c r="A257" s="136" t="s">
        <v>19</v>
      </c>
      <c r="B257" s="137" t="s">
        <v>865</v>
      </c>
      <c r="C257" s="138" t="s">
        <v>979</v>
      </c>
      <c r="D257" s="52"/>
      <c r="E257" s="138" t="s">
        <v>27</v>
      </c>
      <c r="F257" s="139" t="s">
        <v>154</v>
      </c>
      <c r="G257" s="138" t="s">
        <v>146</v>
      </c>
      <c r="H257" s="138" t="s">
        <v>21</v>
      </c>
      <c r="I257" s="140" t="s">
        <v>243</v>
      </c>
      <c r="J257" s="141">
        <f>2026-I257</f>
        <v>16</v>
      </c>
      <c r="K257" s="142">
        <v>1</v>
      </c>
      <c r="L257" s="142">
        <f>K257</f>
        <v>1</v>
      </c>
      <c r="M257" s="52" t="s">
        <v>54</v>
      </c>
      <c r="N257" s="143">
        <f>10000/1500</f>
        <v>6.666666666666667</v>
      </c>
      <c r="O257" s="143">
        <f>N257*L257</f>
        <v>6.666666666666667</v>
      </c>
      <c r="P257" s="144">
        <v>698000</v>
      </c>
      <c r="Q257" s="144">
        <f>+ROUND((L257*P257),-3)</f>
        <v>698000</v>
      </c>
      <c r="R257" s="145">
        <v>1</v>
      </c>
      <c r="S257" s="144">
        <f>+Q257*R257</f>
        <v>698000</v>
      </c>
      <c r="T257" s="52" t="s">
        <v>148</v>
      </c>
    </row>
    <row r="258" spans="1:20" s="19" customFormat="1" ht="22.5" customHeight="1" x14ac:dyDescent="0.3">
      <c r="A258" s="239"/>
      <c r="B258" s="166" t="s">
        <v>55</v>
      </c>
      <c r="C258" s="166"/>
      <c r="D258" s="240"/>
      <c r="E258" s="159"/>
      <c r="F258" s="167"/>
      <c r="G258" s="167"/>
      <c r="H258" s="167"/>
      <c r="I258" s="168"/>
      <c r="J258" s="167"/>
      <c r="K258" s="167"/>
      <c r="L258" s="167"/>
      <c r="M258" s="167"/>
      <c r="N258" s="167"/>
      <c r="O258" s="167"/>
      <c r="P258" s="167"/>
      <c r="Q258" s="167"/>
      <c r="R258" s="45"/>
      <c r="S258" s="45">
        <f>S257</f>
        <v>698000</v>
      </c>
      <c r="T258" s="185"/>
    </row>
    <row r="259" spans="1:20" s="19" customFormat="1" ht="15" customHeight="1" x14ac:dyDescent="0.3">
      <c r="I259" s="323"/>
    </row>
    <row r="260" spans="1:20" s="19" customFormat="1" ht="22.5" customHeight="1" x14ac:dyDescent="0.3">
      <c r="A260" s="272" t="s">
        <v>56</v>
      </c>
      <c r="B260" s="273" t="s">
        <v>159</v>
      </c>
      <c r="C260" s="233"/>
      <c r="D260" s="233"/>
      <c r="E260" s="233"/>
      <c r="F260" s="233"/>
      <c r="G260" s="233"/>
      <c r="H260" s="233"/>
      <c r="I260" s="234"/>
      <c r="J260" s="233"/>
      <c r="K260" s="235"/>
      <c r="L260" s="235"/>
      <c r="M260" s="233"/>
      <c r="N260" s="235"/>
      <c r="O260" s="233"/>
      <c r="P260" s="236"/>
      <c r="Q260" s="233"/>
      <c r="R260" s="233"/>
      <c r="S260" s="203">
        <f>S290</f>
        <v>32699000</v>
      </c>
      <c r="T260" s="233"/>
    </row>
    <row r="261" spans="1:20" s="19" customFormat="1" ht="18.75" customHeight="1" x14ac:dyDescent="0.3">
      <c r="A261" s="765"/>
      <c r="B261" s="767" t="s">
        <v>51</v>
      </c>
      <c r="C261" s="767" t="s">
        <v>58</v>
      </c>
      <c r="D261" s="768" t="s">
        <v>59</v>
      </c>
      <c r="E261" s="769" t="s">
        <v>60</v>
      </c>
      <c r="F261" s="769" t="s">
        <v>61</v>
      </c>
      <c r="G261" s="769" t="s">
        <v>62</v>
      </c>
      <c r="H261" s="769" t="s">
        <v>63</v>
      </c>
      <c r="I261" s="770" t="s">
        <v>64</v>
      </c>
      <c r="J261" s="757"/>
      <c r="K261" s="757"/>
      <c r="L261" s="757"/>
      <c r="M261" s="758"/>
      <c r="N261" s="771" t="s">
        <v>3</v>
      </c>
      <c r="O261" s="771" t="s">
        <v>65</v>
      </c>
      <c r="P261" s="771" t="s">
        <v>66</v>
      </c>
      <c r="Q261" s="771" t="s">
        <v>67</v>
      </c>
      <c r="R261" s="767" t="s">
        <v>68</v>
      </c>
      <c r="S261" s="767" t="s">
        <v>69</v>
      </c>
      <c r="T261" s="767" t="s">
        <v>70</v>
      </c>
    </row>
    <row r="262" spans="1:20" s="19" customFormat="1" ht="18.75" customHeight="1" x14ac:dyDescent="0.3">
      <c r="A262" s="766"/>
      <c r="B262" s="766"/>
      <c r="C262" s="766"/>
      <c r="D262" s="766"/>
      <c r="E262" s="766"/>
      <c r="F262" s="766"/>
      <c r="G262" s="766"/>
      <c r="H262" s="766"/>
      <c r="I262" s="168" t="s">
        <v>71</v>
      </c>
      <c r="J262" s="159" t="s">
        <v>72</v>
      </c>
      <c r="K262" s="159" t="s">
        <v>73</v>
      </c>
      <c r="L262" s="45" t="s">
        <v>74</v>
      </c>
      <c r="M262" s="204" t="s">
        <v>75</v>
      </c>
      <c r="N262" s="766"/>
      <c r="O262" s="766"/>
      <c r="P262" s="766"/>
      <c r="Q262" s="766"/>
      <c r="R262" s="766"/>
      <c r="S262" s="766"/>
      <c r="T262" s="766"/>
    </row>
    <row r="263" spans="1:20" s="19" customFormat="1" ht="83.25" customHeight="1" x14ac:dyDescent="0.3">
      <c r="A263" s="324" t="s">
        <v>5</v>
      </c>
      <c r="B263" s="197" t="s">
        <v>76</v>
      </c>
      <c r="C263" s="197" t="s">
        <v>77</v>
      </c>
      <c r="D263" s="197" t="s">
        <v>78</v>
      </c>
      <c r="E263" s="198" t="s">
        <v>79</v>
      </c>
      <c r="F263" s="198" t="s">
        <v>80</v>
      </c>
      <c r="G263" s="198" t="s">
        <v>81</v>
      </c>
      <c r="H263" s="199" t="s">
        <v>82</v>
      </c>
      <c r="I263" s="200" t="s">
        <v>83</v>
      </c>
      <c r="J263" s="201" t="s">
        <v>84</v>
      </c>
      <c r="K263" s="201" t="s">
        <v>85</v>
      </c>
      <c r="L263" s="197" t="s">
        <v>86</v>
      </c>
      <c r="M263" s="202" t="s">
        <v>87</v>
      </c>
      <c r="N263" s="198" t="s">
        <v>88</v>
      </c>
      <c r="O263" s="198" t="s">
        <v>89</v>
      </c>
      <c r="P263" s="198" t="s">
        <v>90</v>
      </c>
      <c r="Q263" s="198" t="s">
        <v>91</v>
      </c>
      <c r="R263" s="198" t="s">
        <v>92</v>
      </c>
      <c r="S263" s="198" t="s">
        <v>964</v>
      </c>
      <c r="T263" s="198" t="s">
        <v>15</v>
      </c>
    </row>
    <row r="264" spans="1:20" ht="83.25" customHeight="1" x14ac:dyDescent="0.3">
      <c r="A264" s="525"/>
      <c r="B264" s="526" t="s">
        <v>852</v>
      </c>
      <c r="C264" s="527"/>
      <c r="D264" s="527"/>
      <c r="E264" s="527"/>
      <c r="F264" s="527"/>
      <c r="G264" s="527"/>
      <c r="H264" s="527"/>
      <c r="I264" s="528"/>
      <c r="J264" s="527"/>
      <c r="K264" s="527"/>
      <c r="L264" s="527"/>
      <c r="M264" s="529"/>
      <c r="N264" s="527"/>
      <c r="O264" s="527"/>
      <c r="P264" s="527"/>
      <c r="Q264" s="527"/>
      <c r="R264" s="527"/>
      <c r="S264" s="527"/>
      <c r="T264" s="527"/>
    </row>
    <row r="265" spans="1:20" ht="126" customHeight="1" x14ac:dyDescent="0.3">
      <c r="A265" s="530" t="s">
        <v>19</v>
      </c>
      <c r="B265" s="531" t="s">
        <v>111</v>
      </c>
      <c r="C265" s="531" t="s">
        <v>1029</v>
      </c>
      <c r="D265" s="532" t="s">
        <v>1021</v>
      </c>
      <c r="E265" s="533" t="s">
        <v>301</v>
      </c>
      <c r="F265" s="534"/>
      <c r="G265" s="535">
        <v>11</v>
      </c>
      <c r="H265" s="536" t="s">
        <v>95</v>
      </c>
      <c r="I265" s="509">
        <f>3.3*2.5</f>
        <v>8.25</v>
      </c>
      <c r="J265" s="537" t="s">
        <v>96</v>
      </c>
      <c r="K265" s="536">
        <f t="shared" ref="K265:K277" si="35">+I265-J265</f>
        <v>8.25</v>
      </c>
      <c r="L265" s="538">
        <v>0.99199999999999999</v>
      </c>
      <c r="M265" s="539">
        <v>1400000</v>
      </c>
      <c r="N265" s="540">
        <v>0.3</v>
      </c>
      <c r="O265" s="541">
        <f>M265*80%*90%</f>
        <v>1008000</v>
      </c>
      <c r="P265" s="542">
        <f t="shared" ref="P265:P269" si="36">+ROUND((K265*L265*O265*N265),-3)</f>
        <v>2475000</v>
      </c>
      <c r="Q265" s="541" t="s">
        <v>97</v>
      </c>
      <c r="R265" s="541" t="s">
        <v>97</v>
      </c>
      <c r="S265" s="542">
        <f t="shared" ref="S265:S289" si="37">P265</f>
        <v>2475000</v>
      </c>
      <c r="T265" s="536" t="s">
        <v>1030</v>
      </c>
    </row>
    <row r="266" spans="1:20" ht="99" customHeight="1" x14ac:dyDescent="0.3">
      <c r="A266" s="543" t="s">
        <v>98</v>
      </c>
      <c r="B266" s="544" t="s">
        <v>302</v>
      </c>
      <c r="C266" s="544" t="s">
        <v>1031</v>
      </c>
      <c r="D266" s="545" t="s">
        <v>241</v>
      </c>
      <c r="E266" s="545" t="s">
        <v>301</v>
      </c>
      <c r="F266" s="546"/>
      <c r="G266" s="457">
        <v>11</v>
      </c>
      <c r="H266" s="460" t="s">
        <v>95</v>
      </c>
      <c r="I266" s="501">
        <f>2.1*2.2</f>
        <v>4.620000000000001</v>
      </c>
      <c r="J266" s="461" t="s">
        <v>96</v>
      </c>
      <c r="K266" s="460">
        <f t="shared" si="35"/>
        <v>4.620000000000001</v>
      </c>
      <c r="L266" s="462">
        <v>0.99199999999999999</v>
      </c>
      <c r="M266" s="463">
        <v>1487000</v>
      </c>
      <c r="N266" s="464">
        <v>0.3</v>
      </c>
      <c r="O266" s="463">
        <f>M266*80%*90%</f>
        <v>1070640</v>
      </c>
      <c r="P266" s="459">
        <f t="shared" si="36"/>
        <v>1472000</v>
      </c>
      <c r="Q266" s="463" t="s">
        <v>97</v>
      </c>
      <c r="R266" s="463" t="s">
        <v>97</v>
      </c>
      <c r="S266" s="542">
        <f t="shared" si="37"/>
        <v>1472000</v>
      </c>
      <c r="T266" s="460" t="s">
        <v>1009</v>
      </c>
    </row>
    <row r="267" spans="1:20" ht="120" customHeight="1" x14ac:dyDescent="0.3">
      <c r="A267" s="543" t="s">
        <v>104</v>
      </c>
      <c r="B267" s="544" t="s">
        <v>111</v>
      </c>
      <c r="C267" s="544" t="s">
        <v>1032</v>
      </c>
      <c r="D267" s="545" t="s">
        <v>241</v>
      </c>
      <c r="E267" s="545" t="s">
        <v>301</v>
      </c>
      <c r="F267" s="546"/>
      <c r="G267" s="457">
        <v>11</v>
      </c>
      <c r="H267" s="460" t="s">
        <v>95</v>
      </c>
      <c r="I267" s="501">
        <f>2.2*6.2</f>
        <v>13.640000000000002</v>
      </c>
      <c r="J267" s="461" t="s">
        <v>96</v>
      </c>
      <c r="K267" s="460">
        <f t="shared" si="35"/>
        <v>13.640000000000002</v>
      </c>
      <c r="L267" s="462">
        <v>0.99199999999999999</v>
      </c>
      <c r="M267" s="463">
        <v>1400000</v>
      </c>
      <c r="N267" s="464">
        <v>0.3</v>
      </c>
      <c r="O267" s="463">
        <f>M267*0.8*0.9</f>
        <v>1008000</v>
      </c>
      <c r="P267" s="459">
        <f t="shared" si="36"/>
        <v>4092000</v>
      </c>
      <c r="Q267" s="463" t="s">
        <v>97</v>
      </c>
      <c r="R267" s="463" t="s">
        <v>97</v>
      </c>
      <c r="S267" s="542">
        <f t="shared" si="37"/>
        <v>4092000</v>
      </c>
      <c r="T267" s="561" t="s">
        <v>1030</v>
      </c>
    </row>
    <row r="268" spans="1:20" ht="120" customHeight="1" x14ac:dyDescent="0.3">
      <c r="A268" s="547" t="s">
        <v>101</v>
      </c>
      <c r="B268" s="544" t="s">
        <v>102</v>
      </c>
      <c r="C268" s="544" t="s">
        <v>1033</v>
      </c>
      <c r="D268" s="545" t="s">
        <v>217</v>
      </c>
      <c r="E268" s="545" t="s">
        <v>301</v>
      </c>
      <c r="F268" s="546"/>
      <c r="G268" s="457">
        <v>11</v>
      </c>
      <c r="H268" s="460" t="s">
        <v>95</v>
      </c>
      <c r="I268" s="501">
        <f>0.3*0.3*6.2</f>
        <v>0.55799999999999994</v>
      </c>
      <c r="J268" s="461" t="s">
        <v>96</v>
      </c>
      <c r="K268" s="460">
        <f t="shared" si="35"/>
        <v>0.55799999999999994</v>
      </c>
      <c r="L268" s="462">
        <v>0.99199999999999999</v>
      </c>
      <c r="M268" s="463">
        <v>1961000</v>
      </c>
      <c r="N268" s="464">
        <v>0.3</v>
      </c>
      <c r="O268" s="463">
        <f>M268</f>
        <v>1961000</v>
      </c>
      <c r="P268" s="459">
        <f t="shared" si="36"/>
        <v>326000</v>
      </c>
      <c r="Q268" s="463" t="s">
        <v>97</v>
      </c>
      <c r="R268" s="463" t="s">
        <v>97</v>
      </c>
      <c r="S268" s="542">
        <f t="shared" si="37"/>
        <v>326000</v>
      </c>
      <c r="T268" s="460" t="s">
        <v>1034</v>
      </c>
    </row>
    <row r="269" spans="1:20" ht="120" customHeight="1" x14ac:dyDescent="0.3">
      <c r="A269" s="543" t="s">
        <v>107</v>
      </c>
      <c r="B269" s="544" t="s">
        <v>105</v>
      </c>
      <c r="C269" s="544" t="s">
        <v>303</v>
      </c>
      <c r="D269" s="545" t="s">
        <v>241</v>
      </c>
      <c r="E269" s="545" t="s">
        <v>301</v>
      </c>
      <c r="F269" s="546"/>
      <c r="G269" s="457">
        <v>11</v>
      </c>
      <c r="H269" s="460" t="s">
        <v>95</v>
      </c>
      <c r="I269" s="501">
        <f>2.2*2*2.5</f>
        <v>11</v>
      </c>
      <c r="J269" s="461" t="s">
        <v>96</v>
      </c>
      <c r="K269" s="460">
        <f t="shared" si="35"/>
        <v>11</v>
      </c>
      <c r="L269" s="462">
        <v>0.99199999999999999</v>
      </c>
      <c r="M269" s="463">
        <f t="shared" ref="M269:M277" si="38">O269</f>
        <v>835000</v>
      </c>
      <c r="N269" s="464">
        <v>0.3</v>
      </c>
      <c r="O269" s="463">
        <v>835000</v>
      </c>
      <c r="P269" s="459">
        <f t="shared" si="36"/>
        <v>2733000</v>
      </c>
      <c r="Q269" s="463" t="s">
        <v>97</v>
      </c>
      <c r="R269" s="463" t="s">
        <v>97</v>
      </c>
      <c r="S269" s="542">
        <f t="shared" si="37"/>
        <v>2733000</v>
      </c>
      <c r="T269" s="460" t="s">
        <v>911</v>
      </c>
    </row>
    <row r="270" spans="1:20" ht="120" customHeight="1" x14ac:dyDescent="0.3">
      <c r="A270" s="543" t="s">
        <v>110</v>
      </c>
      <c r="B270" s="544" t="s">
        <v>120</v>
      </c>
      <c r="C270" s="548" t="s">
        <v>304</v>
      </c>
      <c r="D270" s="549" t="s">
        <v>241</v>
      </c>
      <c r="E270" s="549" t="s">
        <v>301</v>
      </c>
      <c r="F270" s="550"/>
      <c r="G270" s="551">
        <v>11</v>
      </c>
      <c r="H270" s="552" t="s">
        <v>95</v>
      </c>
      <c r="I270" s="506">
        <f>7.5*2.2</f>
        <v>16.5</v>
      </c>
      <c r="J270" s="553" t="s">
        <v>96</v>
      </c>
      <c r="K270" s="552">
        <f t="shared" si="35"/>
        <v>16.5</v>
      </c>
      <c r="L270" s="554">
        <v>0.99199999999999999</v>
      </c>
      <c r="M270" s="555">
        <f t="shared" si="38"/>
        <v>249000</v>
      </c>
      <c r="N270" s="556">
        <v>0.3</v>
      </c>
      <c r="O270" s="555">
        <v>249000</v>
      </c>
      <c r="P270" s="557">
        <f>+ROUND((K270*L270*O270*N270),-3)</f>
        <v>1223000</v>
      </c>
      <c r="Q270" s="555" t="s">
        <v>97</v>
      </c>
      <c r="R270" s="555" t="s">
        <v>97</v>
      </c>
      <c r="S270" s="542">
        <f t="shared" si="37"/>
        <v>1223000</v>
      </c>
      <c r="T270" s="517" t="s">
        <v>1035</v>
      </c>
    </row>
    <row r="271" spans="1:20" ht="120" customHeight="1" x14ac:dyDescent="0.3">
      <c r="A271" s="558" t="s">
        <v>112</v>
      </c>
      <c r="B271" s="559" t="s">
        <v>214</v>
      </c>
      <c r="C271" s="560" t="s">
        <v>851</v>
      </c>
      <c r="D271" s="561" t="s">
        <v>241</v>
      </c>
      <c r="E271" s="561">
        <v>2017</v>
      </c>
      <c r="F271" s="527"/>
      <c r="G271" s="561">
        <v>9</v>
      </c>
      <c r="H271" s="561" t="s">
        <v>95</v>
      </c>
      <c r="I271" s="562">
        <f>8.8*2.2</f>
        <v>19.360000000000003</v>
      </c>
      <c r="J271" s="561">
        <v>0</v>
      </c>
      <c r="K271" s="552">
        <f t="shared" si="35"/>
        <v>19.360000000000003</v>
      </c>
      <c r="L271" s="561">
        <v>0.99199999999999999</v>
      </c>
      <c r="M271" s="563">
        <v>268000</v>
      </c>
      <c r="N271" s="564">
        <v>0.3</v>
      </c>
      <c r="O271" s="563">
        <v>192960</v>
      </c>
      <c r="P271" s="557">
        <f t="shared" ref="P271:P289" si="39">+ROUND((K271*L271*O271*N271),-3)</f>
        <v>1112000</v>
      </c>
      <c r="Q271" s="561" t="s">
        <v>97</v>
      </c>
      <c r="R271" s="561" t="s">
        <v>97</v>
      </c>
      <c r="S271" s="542">
        <f t="shared" si="37"/>
        <v>1112000</v>
      </c>
      <c r="T271" s="565" t="s">
        <v>908</v>
      </c>
    </row>
    <row r="272" spans="1:20" ht="120" customHeight="1" x14ac:dyDescent="0.3">
      <c r="A272" s="566">
        <v>7</v>
      </c>
      <c r="B272" s="560" t="s">
        <v>849</v>
      </c>
      <c r="C272" s="567" t="s">
        <v>850</v>
      </c>
      <c r="D272" s="568" t="s">
        <v>217</v>
      </c>
      <c r="E272" s="568">
        <v>2017</v>
      </c>
      <c r="F272" s="569"/>
      <c r="G272" s="568">
        <v>9</v>
      </c>
      <c r="H272" s="568" t="s">
        <v>95</v>
      </c>
      <c r="I272" s="570">
        <v>8.8000000000000007</v>
      </c>
      <c r="J272" s="568">
        <v>0</v>
      </c>
      <c r="K272" s="552">
        <f t="shared" si="35"/>
        <v>8.8000000000000007</v>
      </c>
      <c r="L272" s="568">
        <v>0.99199999999999999</v>
      </c>
      <c r="M272" s="571">
        <v>268000</v>
      </c>
      <c r="N272" s="572">
        <v>0.2</v>
      </c>
      <c r="O272" s="571">
        <v>192960</v>
      </c>
      <c r="P272" s="557">
        <f t="shared" si="39"/>
        <v>337000</v>
      </c>
      <c r="Q272" s="568" t="s">
        <v>97</v>
      </c>
      <c r="R272" s="568" t="s">
        <v>97</v>
      </c>
      <c r="S272" s="542">
        <f t="shared" si="37"/>
        <v>337000</v>
      </c>
      <c r="T272" s="561" t="s">
        <v>927</v>
      </c>
    </row>
    <row r="273" spans="1:20" ht="120" customHeight="1" x14ac:dyDescent="0.3">
      <c r="A273" s="566">
        <v>8</v>
      </c>
      <c r="B273" s="531" t="s">
        <v>1036</v>
      </c>
      <c r="C273" s="531" t="s">
        <v>953</v>
      </c>
      <c r="D273" s="533" t="s">
        <v>1037</v>
      </c>
      <c r="E273" s="533" t="s">
        <v>301</v>
      </c>
      <c r="F273" s="534"/>
      <c r="G273" s="535">
        <v>11</v>
      </c>
      <c r="H273" s="536" t="s">
        <v>95</v>
      </c>
      <c r="I273" s="509">
        <f>(0.5*0.5*4)*2</f>
        <v>2</v>
      </c>
      <c r="J273" s="537" t="s">
        <v>96</v>
      </c>
      <c r="K273" s="536">
        <f t="shared" si="35"/>
        <v>2</v>
      </c>
      <c r="L273" s="538">
        <v>0.99199999999999999</v>
      </c>
      <c r="M273" s="541">
        <f t="shared" si="38"/>
        <v>3101000</v>
      </c>
      <c r="N273" s="540">
        <v>0.3</v>
      </c>
      <c r="O273" s="541">
        <v>3101000</v>
      </c>
      <c r="P273" s="557">
        <f t="shared" si="39"/>
        <v>1846000</v>
      </c>
      <c r="Q273" s="541" t="s">
        <v>97</v>
      </c>
      <c r="R273" s="541" t="s">
        <v>97</v>
      </c>
      <c r="S273" s="542">
        <f t="shared" si="37"/>
        <v>1846000</v>
      </c>
      <c r="T273" s="536" t="s">
        <v>913</v>
      </c>
    </row>
    <row r="274" spans="1:20" ht="120" customHeight="1" x14ac:dyDescent="0.3">
      <c r="A274" s="566">
        <v>9</v>
      </c>
      <c r="B274" s="544" t="s">
        <v>123</v>
      </c>
      <c r="C274" s="544" t="s">
        <v>305</v>
      </c>
      <c r="D274" s="573" t="s">
        <v>217</v>
      </c>
      <c r="E274" s="545" t="s">
        <v>301</v>
      </c>
      <c r="F274" s="546"/>
      <c r="G274" s="457">
        <v>11</v>
      </c>
      <c r="H274" s="460" t="s">
        <v>95</v>
      </c>
      <c r="I274" s="501">
        <f>1*1*0.1*12</f>
        <v>1.2000000000000002</v>
      </c>
      <c r="J274" s="461" t="s">
        <v>96</v>
      </c>
      <c r="K274" s="460">
        <f t="shared" si="35"/>
        <v>1.2000000000000002</v>
      </c>
      <c r="L274" s="462">
        <v>0.99199999999999999</v>
      </c>
      <c r="M274" s="463">
        <f t="shared" si="38"/>
        <v>6270000</v>
      </c>
      <c r="N274" s="464">
        <v>0.3</v>
      </c>
      <c r="O274" s="463">
        <v>6270000</v>
      </c>
      <c r="P274" s="557">
        <f t="shared" si="39"/>
        <v>2239000</v>
      </c>
      <c r="Q274" s="463" t="s">
        <v>97</v>
      </c>
      <c r="R274" s="463" t="s">
        <v>97</v>
      </c>
      <c r="S274" s="542">
        <f t="shared" si="37"/>
        <v>2239000</v>
      </c>
      <c r="T274" s="460" t="s">
        <v>904</v>
      </c>
    </row>
    <row r="275" spans="1:20" ht="120" customHeight="1" x14ac:dyDescent="0.3">
      <c r="A275" s="566">
        <v>10</v>
      </c>
      <c r="B275" s="544" t="s">
        <v>126</v>
      </c>
      <c r="C275" s="544" t="s">
        <v>306</v>
      </c>
      <c r="D275" s="573" t="s">
        <v>217</v>
      </c>
      <c r="E275" s="545" t="s">
        <v>301</v>
      </c>
      <c r="F275" s="546"/>
      <c r="G275" s="457">
        <v>11</v>
      </c>
      <c r="H275" s="460" t="s">
        <v>95</v>
      </c>
      <c r="I275" s="501">
        <f>0.3*0.7*24</f>
        <v>5.04</v>
      </c>
      <c r="J275" s="461" t="s">
        <v>96</v>
      </c>
      <c r="K275" s="460">
        <f t="shared" si="35"/>
        <v>5.04</v>
      </c>
      <c r="L275" s="462">
        <v>0.99199999999999999</v>
      </c>
      <c r="M275" s="463">
        <f t="shared" si="38"/>
        <v>2360000</v>
      </c>
      <c r="N275" s="464">
        <v>0.3</v>
      </c>
      <c r="O275" s="463">
        <v>2360000</v>
      </c>
      <c r="P275" s="557">
        <f t="shared" si="39"/>
        <v>3540000</v>
      </c>
      <c r="Q275" s="463" t="s">
        <v>97</v>
      </c>
      <c r="R275" s="463" t="s">
        <v>97</v>
      </c>
      <c r="S275" s="542">
        <f t="shared" si="37"/>
        <v>3540000</v>
      </c>
      <c r="T275" s="460" t="s">
        <v>905</v>
      </c>
    </row>
    <row r="276" spans="1:20" ht="108.75" customHeight="1" x14ac:dyDescent="0.3">
      <c r="A276" s="566">
        <v>11</v>
      </c>
      <c r="B276" s="544" t="s">
        <v>1036</v>
      </c>
      <c r="C276" s="544" t="s">
        <v>307</v>
      </c>
      <c r="D276" s="573" t="s">
        <v>217</v>
      </c>
      <c r="E276" s="545" t="s">
        <v>301</v>
      </c>
      <c r="F276" s="546"/>
      <c r="G276" s="457">
        <v>11</v>
      </c>
      <c r="H276" s="460" t="s">
        <v>95</v>
      </c>
      <c r="I276" s="574">
        <f>(0.4*0.4*2.5)*2</f>
        <v>0.80000000000000016</v>
      </c>
      <c r="J276" s="463">
        <v>0</v>
      </c>
      <c r="K276" s="460">
        <f t="shared" si="35"/>
        <v>0.80000000000000016</v>
      </c>
      <c r="L276" s="462">
        <v>0.99199999999999999</v>
      </c>
      <c r="M276" s="463">
        <f t="shared" si="38"/>
        <v>3101000</v>
      </c>
      <c r="N276" s="464">
        <v>0.3</v>
      </c>
      <c r="O276" s="463">
        <v>3101000</v>
      </c>
      <c r="P276" s="557">
        <f t="shared" si="39"/>
        <v>738000</v>
      </c>
      <c r="Q276" s="463" t="s">
        <v>97</v>
      </c>
      <c r="R276" s="463" t="s">
        <v>97</v>
      </c>
      <c r="S276" s="542">
        <f t="shared" si="37"/>
        <v>738000</v>
      </c>
      <c r="T276" s="460" t="s">
        <v>913</v>
      </c>
    </row>
    <row r="277" spans="1:20" ht="114" customHeight="1" x14ac:dyDescent="0.3">
      <c r="A277" s="566">
        <v>12</v>
      </c>
      <c r="B277" s="548" t="s">
        <v>308</v>
      </c>
      <c r="C277" s="548" t="s">
        <v>309</v>
      </c>
      <c r="D277" s="575" t="s">
        <v>217</v>
      </c>
      <c r="E277" s="549" t="s">
        <v>301</v>
      </c>
      <c r="F277" s="550"/>
      <c r="G277" s="551">
        <v>11</v>
      </c>
      <c r="H277" s="552" t="s">
        <v>95</v>
      </c>
      <c r="I277" s="576">
        <f>0.5*0.5*2.5</f>
        <v>0.625</v>
      </c>
      <c r="J277" s="555">
        <v>0</v>
      </c>
      <c r="K277" s="460">
        <f t="shared" si="35"/>
        <v>0.625</v>
      </c>
      <c r="L277" s="554">
        <v>0.99199999999999999</v>
      </c>
      <c r="M277" s="555">
        <f t="shared" si="38"/>
        <v>3101000</v>
      </c>
      <c r="N277" s="556">
        <v>0.3</v>
      </c>
      <c r="O277" s="555">
        <v>3101000</v>
      </c>
      <c r="P277" s="557">
        <f t="shared" si="39"/>
        <v>577000</v>
      </c>
      <c r="Q277" s="555" t="s">
        <v>97</v>
      </c>
      <c r="R277" s="555" t="s">
        <v>97</v>
      </c>
      <c r="S277" s="542">
        <f t="shared" si="37"/>
        <v>577000</v>
      </c>
      <c r="T277" s="552" t="s">
        <v>913</v>
      </c>
    </row>
    <row r="278" spans="1:20" ht="114" customHeight="1" x14ac:dyDescent="0.3">
      <c r="A278" s="525"/>
      <c r="B278" s="526" t="s">
        <v>853</v>
      </c>
      <c r="C278" s="577"/>
      <c r="D278" s="577"/>
      <c r="E278" s="577"/>
      <c r="F278" s="577"/>
      <c r="G278" s="577"/>
      <c r="H278" s="577"/>
      <c r="I278" s="578"/>
      <c r="J278" s="577"/>
      <c r="K278" s="577"/>
      <c r="L278" s="577"/>
      <c r="M278" s="577"/>
      <c r="N278" s="577"/>
      <c r="O278" s="573"/>
      <c r="P278" s="577"/>
      <c r="Q278" s="577"/>
      <c r="R278" s="577"/>
      <c r="S278" s="577"/>
      <c r="T278" s="577"/>
    </row>
    <row r="279" spans="1:20" ht="96" customHeight="1" x14ac:dyDescent="0.3">
      <c r="A279" s="579">
        <v>1</v>
      </c>
      <c r="B279" s="560" t="s">
        <v>120</v>
      </c>
      <c r="C279" s="560" t="s">
        <v>854</v>
      </c>
      <c r="D279" s="561" t="s">
        <v>241</v>
      </c>
      <c r="E279" s="561">
        <v>2017</v>
      </c>
      <c r="F279" s="527"/>
      <c r="G279" s="561">
        <v>9</v>
      </c>
      <c r="H279" s="561" t="s">
        <v>95</v>
      </c>
      <c r="I279" s="562">
        <f>3.2*4.8</f>
        <v>15.36</v>
      </c>
      <c r="J279" s="561">
        <v>0</v>
      </c>
      <c r="K279" s="562">
        <f>I279-J279</f>
        <v>15.36</v>
      </c>
      <c r="L279" s="561">
        <v>0.99199999999999999</v>
      </c>
      <c r="M279" s="563">
        <v>189000</v>
      </c>
      <c r="N279" s="564">
        <v>0.3</v>
      </c>
      <c r="O279" s="563">
        <f>M279</f>
        <v>189000</v>
      </c>
      <c r="P279" s="557">
        <f t="shared" si="39"/>
        <v>864000</v>
      </c>
      <c r="Q279" s="561" t="s">
        <v>97</v>
      </c>
      <c r="R279" s="561" t="s">
        <v>97</v>
      </c>
      <c r="S279" s="542">
        <f t="shared" si="37"/>
        <v>864000</v>
      </c>
      <c r="T279" s="561" t="s">
        <v>928</v>
      </c>
    </row>
    <row r="280" spans="1:20" ht="96" customHeight="1" x14ac:dyDescent="0.3">
      <c r="A280" s="579">
        <v>2</v>
      </c>
      <c r="B280" s="560" t="s">
        <v>111</v>
      </c>
      <c r="C280" s="560" t="s">
        <v>1038</v>
      </c>
      <c r="D280" s="561" t="s">
        <v>241</v>
      </c>
      <c r="E280" s="561">
        <v>2017</v>
      </c>
      <c r="F280" s="527"/>
      <c r="G280" s="561">
        <v>9</v>
      </c>
      <c r="H280" s="561" t="s">
        <v>95</v>
      </c>
      <c r="I280" s="562">
        <f>3.8*1.6</f>
        <v>6.08</v>
      </c>
      <c r="J280" s="561">
        <v>0</v>
      </c>
      <c r="K280" s="562">
        <f t="shared" ref="K280:K289" si="40">I280-J280</f>
        <v>6.08</v>
      </c>
      <c r="L280" s="561">
        <v>0.99199999999999999</v>
      </c>
      <c r="M280" s="563">
        <v>1400000</v>
      </c>
      <c r="N280" s="564">
        <v>0.3</v>
      </c>
      <c r="O280" s="563">
        <f>M280*0.8*0.9</f>
        <v>1008000</v>
      </c>
      <c r="P280" s="557">
        <f t="shared" si="39"/>
        <v>1824000</v>
      </c>
      <c r="Q280" s="561" t="s">
        <v>97</v>
      </c>
      <c r="R280" s="561" t="s">
        <v>97</v>
      </c>
      <c r="S280" s="542">
        <f t="shared" si="37"/>
        <v>1824000</v>
      </c>
      <c r="T280" s="561" t="s">
        <v>1086</v>
      </c>
    </row>
    <row r="281" spans="1:20" ht="96" customHeight="1" x14ac:dyDescent="0.3">
      <c r="A281" s="580" t="s">
        <v>101</v>
      </c>
      <c r="B281" s="560" t="s">
        <v>102</v>
      </c>
      <c r="C281" s="560" t="s">
        <v>1039</v>
      </c>
      <c r="D281" s="561" t="s">
        <v>241</v>
      </c>
      <c r="E281" s="561">
        <v>2017</v>
      </c>
      <c r="F281" s="527"/>
      <c r="G281" s="561">
        <v>9</v>
      </c>
      <c r="H281" s="561" t="s">
        <v>95</v>
      </c>
      <c r="I281" s="562">
        <f>3.8*0.3*0.3</f>
        <v>0.34199999999999997</v>
      </c>
      <c r="J281" s="561">
        <v>0</v>
      </c>
      <c r="K281" s="562">
        <f t="shared" si="40"/>
        <v>0.34199999999999997</v>
      </c>
      <c r="L281" s="561">
        <v>0.99199999999999999</v>
      </c>
      <c r="M281" s="563">
        <v>1961000</v>
      </c>
      <c r="N281" s="564">
        <v>0.3</v>
      </c>
      <c r="O281" s="563">
        <f t="shared" ref="O281:O289" si="41">M281</f>
        <v>1961000</v>
      </c>
      <c r="P281" s="557">
        <f t="shared" si="39"/>
        <v>200000</v>
      </c>
      <c r="Q281" s="561" t="s">
        <v>97</v>
      </c>
      <c r="R281" s="561" t="s">
        <v>97</v>
      </c>
      <c r="S281" s="542">
        <f t="shared" si="37"/>
        <v>200000</v>
      </c>
      <c r="T281" s="460" t="s">
        <v>1034</v>
      </c>
    </row>
    <row r="282" spans="1:20" ht="96" customHeight="1" x14ac:dyDescent="0.3">
      <c r="A282" s="580" t="s">
        <v>101</v>
      </c>
      <c r="B282" s="560" t="s">
        <v>102</v>
      </c>
      <c r="C282" s="560" t="s">
        <v>1040</v>
      </c>
      <c r="D282" s="561" t="s">
        <v>241</v>
      </c>
      <c r="E282" s="561">
        <v>2017</v>
      </c>
      <c r="F282" s="527"/>
      <c r="G282" s="561">
        <v>9</v>
      </c>
      <c r="H282" s="561" t="s">
        <v>95</v>
      </c>
      <c r="I282" s="562">
        <f>3.8*1.4</f>
        <v>5.3199999999999994</v>
      </c>
      <c r="J282" s="561">
        <v>0</v>
      </c>
      <c r="K282" s="562">
        <f t="shared" si="40"/>
        <v>5.3199999999999994</v>
      </c>
      <c r="L282" s="561">
        <v>0.99199999999999999</v>
      </c>
      <c r="M282" s="563">
        <v>1486000</v>
      </c>
      <c r="N282" s="564">
        <v>0.3</v>
      </c>
      <c r="O282" s="563">
        <f t="shared" si="41"/>
        <v>1486000</v>
      </c>
      <c r="P282" s="557">
        <f t="shared" si="39"/>
        <v>2353000</v>
      </c>
      <c r="Q282" s="561" t="s">
        <v>97</v>
      </c>
      <c r="R282" s="561" t="s">
        <v>97</v>
      </c>
      <c r="S282" s="542">
        <f t="shared" si="37"/>
        <v>2353000</v>
      </c>
      <c r="T282" s="561" t="s">
        <v>219</v>
      </c>
    </row>
    <row r="283" spans="1:20" ht="96" customHeight="1" x14ac:dyDescent="0.3">
      <c r="A283" s="579">
        <v>3</v>
      </c>
      <c r="B283" s="560" t="s">
        <v>105</v>
      </c>
      <c r="C283" s="560" t="s">
        <v>855</v>
      </c>
      <c r="D283" s="561" t="s">
        <v>241</v>
      </c>
      <c r="E283" s="561">
        <v>2017</v>
      </c>
      <c r="F283" s="527"/>
      <c r="G283" s="561">
        <v>9</v>
      </c>
      <c r="H283" s="561" t="s">
        <v>95</v>
      </c>
      <c r="I283" s="562">
        <f>2.9*2</f>
        <v>5.8</v>
      </c>
      <c r="J283" s="561">
        <v>0</v>
      </c>
      <c r="K283" s="562">
        <f t="shared" si="40"/>
        <v>5.8</v>
      </c>
      <c r="L283" s="561">
        <v>0.99199999999999999</v>
      </c>
      <c r="M283" s="563">
        <v>835000</v>
      </c>
      <c r="N283" s="564">
        <v>0.3</v>
      </c>
      <c r="O283" s="563">
        <f t="shared" si="41"/>
        <v>835000</v>
      </c>
      <c r="P283" s="557">
        <f t="shared" si="39"/>
        <v>1441000</v>
      </c>
      <c r="Q283" s="561" t="s">
        <v>97</v>
      </c>
      <c r="R283" s="561" t="s">
        <v>97</v>
      </c>
      <c r="S283" s="542">
        <f t="shared" si="37"/>
        <v>1441000</v>
      </c>
      <c r="T283" s="561" t="s">
        <v>929</v>
      </c>
    </row>
    <row r="284" spans="1:20" ht="96" customHeight="1" x14ac:dyDescent="0.3">
      <c r="A284" s="579">
        <v>4</v>
      </c>
      <c r="B284" s="560" t="s">
        <v>1041</v>
      </c>
      <c r="C284" s="560" t="s">
        <v>856</v>
      </c>
      <c r="D284" s="561" t="s">
        <v>217</v>
      </c>
      <c r="E284" s="561">
        <v>2017</v>
      </c>
      <c r="F284" s="527"/>
      <c r="G284" s="561">
        <v>9</v>
      </c>
      <c r="H284" s="561" t="s">
        <v>95</v>
      </c>
      <c r="I284" s="562">
        <f>0.4*0.4*2*3</f>
        <v>0.96000000000000019</v>
      </c>
      <c r="J284" s="561">
        <v>0</v>
      </c>
      <c r="K284" s="562">
        <f t="shared" si="40"/>
        <v>0.96000000000000019</v>
      </c>
      <c r="L284" s="561">
        <v>0.99199999999999999</v>
      </c>
      <c r="M284" s="563">
        <v>2556000</v>
      </c>
      <c r="N284" s="564">
        <v>0.3</v>
      </c>
      <c r="O284" s="563">
        <f t="shared" si="41"/>
        <v>2556000</v>
      </c>
      <c r="P284" s="557">
        <f t="shared" si="39"/>
        <v>730000</v>
      </c>
      <c r="Q284" s="561" t="s">
        <v>97</v>
      </c>
      <c r="R284" s="561" t="s">
        <v>97</v>
      </c>
      <c r="S284" s="542">
        <f t="shared" si="37"/>
        <v>730000</v>
      </c>
      <c r="T284" s="536" t="s">
        <v>169</v>
      </c>
    </row>
    <row r="285" spans="1:20" ht="96" customHeight="1" x14ac:dyDescent="0.3">
      <c r="A285" s="579">
        <v>5</v>
      </c>
      <c r="B285" s="560" t="s">
        <v>319</v>
      </c>
      <c r="C285" s="560" t="s">
        <v>857</v>
      </c>
      <c r="D285" s="561" t="s">
        <v>241</v>
      </c>
      <c r="E285" s="561">
        <v>2017</v>
      </c>
      <c r="F285" s="527"/>
      <c r="G285" s="561">
        <v>9</v>
      </c>
      <c r="H285" s="561" t="s">
        <v>95</v>
      </c>
      <c r="I285" s="562">
        <f>5*1.4</f>
        <v>7</v>
      </c>
      <c r="J285" s="561">
        <v>0</v>
      </c>
      <c r="K285" s="562">
        <f t="shared" si="40"/>
        <v>7</v>
      </c>
      <c r="L285" s="561">
        <v>0.99199999999999999</v>
      </c>
      <c r="M285" s="563">
        <v>268000</v>
      </c>
      <c r="N285" s="564">
        <v>0.3</v>
      </c>
      <c r="O285" s="563">
        <f t="shared" si="41"/>
        <v>268000</v>
      </c>
      <c r="P285" s="557">
        <f t="shared" si="39"/>
        <v>558000</v>
      </c>
      <c r="Q285" s="561" t="s">
        <v>97</v>
      </c>
      <c r="R285" s="561" t="s">
        <v>97</v>
      </c>
      <c r="S285" s="542">
        <f t="shared" si="37"/>
        <v>558000</v>
      </c>
      <c r="T285" s="561" t="s">
        <v>166</v>
      </c>
    </row>
    <row r="286" spans="1:20" ht="96" customHeight="1" x14ac:dyDescent="0.3">
      <c r="A286" s="579">
        <v>6</v>
      </c>
      <c r="B286" s="560" t="s">
        <v>858</v>
      </c>
      <c r="C286" s="560" t="s">
        <v>859</v>
      </c>
      <c r="D286" s="561" t="s">
        <v>217</v>
      </c>
      <c r="E286" s="561">
        <v>2018</v>
      </c>
      <c r="F286" s="527"/>
      <c r="G286" s="561">
        <v>8</v>
      </c>
      <c r="H286" s="561" t="s">
        <v>95</v>
      </c>
      <c r="I286" s="562">
        <f>5*2</f>
        <v>10</v>
      </c>
      <c r="J286" s="561">
        <v>0</v>
      </c>
      <c r="K286" s="562">
        <f t="shared" si="40"/>
        <v>10</v>
      </c>
      <c r="L286" s="561">
        <v>0.99199999999999999</v>
      </c>
      <c r="M286" s="563">
        <v>268000</v>
      </c>
      <c r="N286" s="564">
        <v>0.2</v>
      </c>
      <c r="O286" s="563">
        <f t="shared" si="41"/>
        <v>268000</v>
      </c>
      <c r="P286" s="557">
        <f t="shared" si="39"/>
        <v>532000</v>
      </c>
      <c r="Q286" s="561" t="s">
        <v>97</v>
      </c>
      <c r="R286" s="561" t="s">
        <v>97</v>
      </c>
      <c r="S286" s="542">
        <f t="shared" si="37"/>
        <v>532000</v>
      </c>
      <c r="T286" s="561" t="s">
        <v>931</v>
      </c>
    </row>
    <row r="287" spans="1:20" ht="96" customHeight="1" x14ac:dyDescent="0.3">
      <c r="A287" s="579">
        <v>7</v>
      </c>
      <c r="B287" s="560" t="s">
        <v>860</v>
      </c>
      <c r="C287" s="560" t="s">
        <v>861</v>
      </c>
      <c r="D287" s="561" t="s">
        <v>217</v>
      </c>
      <c r="E287" s="561">
        <v>2017</v>
      </c>
      <c r="F287" s="527"/>
      <c r="G287" s="561">
        <v>9</v>
      </c>
      <c r="H287" s="561" t="s">
        <v>95</v>
      </c>
      <c r="I287" s="562">
        <f>1*1*0.15*5</f>
        <v>0.75</v>
      </c>
      <c r="J287" s="561">
        <v>0</v>
      </c>
      <c r="K287" s="562">
        <f t="shared" si="40"/>
        <v>0.75</v>
      </c>
      <c r="L287" s="561">
        <v>0.99199999999999999</v>
      </c>
      <c r="M287" s="563">
        <v>6270000</v>
      </c>
      <c r="N287" s="564">
        <v>0.2</v>
      </c>
      <c r="O287" s="563">
        <f t="shared" si="41"/>
        <v>6270000</v>
      </c>
      <c r="P287" s="557">
        <f t="shared" si="39"/>
        <v>933000</v>
      </c>
      <c r="Q287" s="561" t="s">
        <v>97</v>
      </c>
      <c r="R287" s="561" t="s">
        <v>97</v>
      </c>
      <c r="S287" s="542">
        <f t="shared" si="37"/>
        <v>933000</v>
      </c>
      <c r="T287" s="561" t="s">
        <v>930</v>
      </c>
    </row>
    <row r="288" spans="1:20" ht="96" customHeight="1" x14ac:dyDescent="0.3">
      <c r="A288" s="579">
        <v>8</v>
      </c>
      <c r="B288" s="560" t="s">
        <v>862</v>
      </c>
      <c r="C288" s="560" t="s">
        <v>863</v>
      </c>
      <c r="D288" s="561" t="s">
        <v>217</v>
      </c>
      <c r="E288" s="561">
        <v>2017</v>
      </c>
      <c r="F288" s="527"/>
      <c r="G288" s="561">
        <v>9</v>
      </c>
      <c r="H288" s="561" t="s">
        <v>95</v>
      </c>
      <c r="I288" s="562">
        <f>0.3*0.3*10</f>
        <v>0.89999999999999991</v>
      </c>
      <c r="J288" s="561">
        <v>0</v>
      </c>
      <c r="K288" s="562">
        <f t="shared" si="40"/>
        <v>0.89999999999999991</v>
      </c>
      <c r="L288" s="561">
        <v>0.99199999999999999</v>
      </c>
      <c r="M288" s="563">
        <v>2360000</v>
      </c>
      <c r="N288" s="564">
        <v>0.2</v>
      </c>
      <c r="O288" s="563">
        <f t="shared" si="41"/>
        <v>2360000</v>
      </c>
      <c r="P288" s="557">
        <f t="shared" si="39"/>
        <v>421000</v>
      </c>
      <c r="Q288" s="561" t="s">
        <v>97</v>
      </c>
      <c r="R288" s="561" t="s">
        <v>97</v>
      </c>
      <c r="S288" s="542">
        <f t="shared" si="37"/>
        <v>421000</v>
      </c>
      <c r="T288" s="561" t="s">
        <v>932</v>
      </c>
    </row>
    <row r="289" spans="1:20" ht="96" customHeight="1" x14ac:dyDescent="0.3">
      <c r="A289" s="579">
        <v>9</v>
      </c>
      <c r="B289" s="560" t="s">
        <v>308</v>
      </c>
      <c r="C289" s="560" t="s">
        <v>864</v>
      </c>
      <c r="D289" s="561" t="s">
        <v>217</v>
      </c>
      <c r="E289" s="561">
        <v>2017</v>
      </c>
      <c r="F289" s="527"/>
      <c r="G289" s="561">
        <v>9</v>
      </c>
      <c r="H289" s="561" t="s">
        <v>95</v>
      </c>
      <c r="I289" s="562">
        <f>0.3*0.3*1.6</f>
        <v>0.14399999999999999</v>
      </c>
      <c r="J289" s="561">
        <v>0</v>
      </c>
      <c r="K289" s="562">
        <f t="shared" si="40"/>
        <v>0.14399999999999999</v>
      </c>
      <c r="L289" s="561">
        <v>0.99199999999999999</v>
      </c>
      <c r="M289" s="563">
        <v>3101000</v>
      </c>
      <c r="N289" s="564">
        <v>0.3</v>
      </c>
      <c r="O289" s="563">
        <f t="shared" si="41"/>
        <v>3101000</v>
      </c>
      <c r="P289" s="581">
        <f t="shared" si="39"/>
        <v>133000</v>
      </c>
      <c r="Q289" s="561" t="s">
        <v>97</v>
      </c>
      <c r="R289" s="561" t="s">
        <v>97</v>
      </c>
      <c r="S289" s="542">
        <f t="shared" si="37"/>
        <v>133000</v>
      </c>
      <c r="T289" s="561" t="s">
        <v>933</v>
      </c>
    </row>
    <row r="290" spans="1:20" s="19" customFormat="1" ht="58.5" customHeight="1" x14ac:dyDescent="0.3">
      <c r="A290" s="131"/>
      <c r="B290" s="332" t="s">
        <v>55</v>
      </c>
      <c r="C290" s="333"/>
      <c r="D290" s="334"/>
      <c r="E290" s="334"/>
      <c r="F290" s="335"/>
      <c r="G290" s="335"/>
      <c r="H290" s="335"/>
      <c r="I290" s="336"/>
      <c r="J290" s="335"/>
      <c r="K290" s="335"/>
      <c r="L290" s="335"/>
      <c r="M290" s="335"/>
      <c r="N290" s="335"/>
      <c r="O290" s="335"/>
      <c r="P290" s="335"/>
      <c r="Q290" s="335"/>
      <c r="R290" s="335"/>
      <c r="S290" s="337">
        <f>SUM(S265:S289)</f>
        <v>32699000</v>
      </c>
      <c r="T290" s="335"/>
    </row>
    <row r="291" spans="1:20" s="19" customFormat="1" ht="30" customHeight="1" x14ac:dyDescent="0.3">
      <c r="A291" s="338" t="s">
        <v>131</v>
      </c>
      <c r="B291" s="339" t="s">
        <v>132</v>
      </c>
      <c r="C291" s="340"/>
      <c r="D291" s="341"/>
      <c r="E291" s="341"/>
      <c r="F291" s="341"/>
      <c r="G291" s="341"/>
      <c r="H291" s="341"/>
      <c r="I291" s="342"/>
      <c r="J291" s="341"/>
      <c r="K291" s="343"/>
      <c r="L291" s="343"/>
      <c r="M291" s="341"/>
      <c r="N291" s="343"/>
      <c r="O291" s="341"/>
      <c r="P291" s="344"/>
      <c r="Q291" s="341"/>
      <c r="R291" s="341"/>
      <c r="S291" s="345"/>
      <c r="T291" s="341"/>
    </row>
    <row r="292" spans="1:20" s="19" customFormat="1" ht="30" customHeight="1" x14ac:dyDescent="0.3">
      <c r="A292" s="171" t="s">
        <v>133</v>
      </c>
      <c r="B292" s="172" t="s">
        <v>134</v>
      </c>
      <c r="C292" s="174"/>
      <c r="D292" s="174"/>
      <c r="E292" s="174"/>
      <c r="F292" s="174"/>
      <c r="G292" s="174"/>
      <c r="H292" s="174"/>
      <c r="I292" s="175"/>
      <c r="J292" s="174"/>
      <c r="K292" s="176"/>
      <c r="L292" s="176"/>
      <c r="M292" s="174"/>
      <c r="N292" s="176"/>
      <c r="O292" s="174"/>
      <c r="P292" s="177"/>
      <c r="Q292" s="174"/>
      <c r="R292" s="174"/>
      <c r="S292" s="174"/>
      <c r="T292" s="174"/>
    </row>
    <row r="293" spans="1:20" s="19" customFormat="1" ht="30" customHeight="1" x14ac:dyDescent="0.3">
      <c r="A293" s="178" t="s">
        <v>135</v>
      </c>
      <c r="B293" s="756" t="s">
        <v>310</v>
      </c>
      <c r="C293" s="757"/>
      <c r="D293" s="757"/>
      <c r="E293" s="757"/>
      <c r="F293" s="757"/>
      <c r="G293" s="757"/>
      <c r="H293" s="757"/>
      <c r="I293" s="757"/>
      <c r="J293" s="757"/>
      <c r="K293" s="757"/>
      <c r="L293" s="757"/>
      <c r="M293" s="757"/>
      <c r="N293" s="757"/>
      <c r="O293" s="757"/>
      <c r="P293" s="757"/>
      <c r="Q293" s="757"/>
      <c r="R293" s="758"/>
      <c r="S293" s="29">
        <f>+S290+S258</f>
        <v>33397000</v>
      </c>
      <c r="T293" s="174" t="s">
        <v>137</v>
      </c>
    </row>
    <row r="294" spans="1:20" ht="31.5" customHeight="1" x14ac:dyDescent="0.3">
      <c r="A294" s="474"/>
      <c r="B294" s="829" t="s">
        <v>311</v>
      </c>
      <c r="C294" s="773"/>
      <c r="D294" s="773"/>
      <c r="E294" s="773"/>
      <c r="F294" s="773"/>
      <c r="G294" s="773"/>
      <c r="H294" s="773"/>
      <c r="I294" s="773"/>
      <c r="J294" s="773"/>
      <c r="K294" s="773"/>
      <c r="L294" s="773"/>
      <c r="M294" s="773"/>
      <c r="N294" s="773"/>
      <c r="O294" s="773"/>
      <c r="P294" s="773"/>
      <c r="Q294" s="773"/>
      <c r="R294" s="773"/>
      <c r="S294" s="773"/>
      <c r="T294" s="474"/>
    </row>
    <row r="295" spans="1:20" ht="18.75" customHeight="1" x14ac:dyDescent="0.3">
      <c r="A295" s="474"/>
      <c r="B295" s="772" t="s">
        <v>1</v>
      </c>
      <c r="C295" s="773"/>
      <c r="D295" s="773"/>
      <c r="E295" s="773"/>
      <c r="F295" s="773"/>
      <c r="G295" s="773"/>
      <c r="H295" s="773"/>
      <c r="I295" s="773"/>
      <c r="J295" s="773"/>
      <c r="K295" s="773"/>
      <c r="L295" s="773"/>
      <c r="M295" s="773"/>
      <c r="N295" s="773"/>
      <c r="O295" s="773"/>
      <c r="P295" s="773"/>
      <c r="Q295" s="773"/>
      <c r="R295" s="773"/>
      <c r="S295" s="773"/>
      <c r="T295" s="474"/>
    </row>
    <row r="296" spans="1:20" ht="18.75" customHeight="1" x14ac:dyDescent="0.3">
      <c r="A296" s="474"/>
      <c r="B296" s="772" t="s">
        <v>2</v>
      </c>
      <c r="C296" s="773"/>
      <c r="D296" s="773"/>
      <c r="E296" s="773"/>
      <c r="F296" s="773"/>
      <c r="G296" s="773"/>
      <c r="H296" s="773"/>
      <c r="I296" s="773"/>
      <c r="J296" s="773"/>
      <c r="K296" s="773"/>
      <c r="L296" s="773"/>
      <c r="M296" s="773"/>
      <c r="N296" s="773"/>
      <c r="O296" s="773"/>
      <c r="P296" s="773"/>
      <c r="Q296" s="773"/>
      <c r="R296" s="773"/>
      <c r="S296" s="773"/>
      <c r="T296" s="474"/>
    </row>
    <row r="297" spans="1:20" ht="18.75" customHeight="1" x14ac:dyDescent="0.3">
      <c r="A297" s="475"/>
      <c r="B297" s="809" t="str">
        <f>B243</f>
        <v>(Kèm theo Quyết định số     /QĐ-UBND ngày     tháng     năm 2026 của Ủy ban nhân dân xã Thuận An)</v>
      </c>
      <c r="C297" s="773"/>
      <c r="D297" s="773"/>
      <c r="E297" s="773"/>
      <c r="F297" s="773"/>
      <c r="G297" s="773"/>
      <c r="H297" s="773"/>
      <c r="I297" s="773"/>
      <c r="J297" s="773"/>
      <c r="K297" s="773"/>
      <c r="L297" s="773"/>
      <c r="M297" s="773"/>
      <c r="N297" s="773"/>
      <c r="O297" s="773"/>
      <c r="P297" s="773"/>
      <c r="Q297" s="773"/>
      <c r="R297" s="773"/>
      <c r="S297" s="773"/>
      <c r="T297" s="475"/>
    </row>
    <row r="298" spans="1:20" s="19" customFormat="1" ht="18.75" customHeight="1" thickBot="1" x14ac:dyDescent="0.35">
      <c r="A298" s="272" t="s">
        <v>3</v>
      </c>
      <c r="B298" s="273" t="s">
        <v>4</v>
      </c>
      <c r="C298" s="233"/>
      <c r="D298" s="233"/>
      <c r="E298" s="233"/>
      <c r="F298" s="233"/>
      <c r="G298" s="233"/>
      <c r="H298" s="233"/>
      <c r="I298" s="234"/>
      <c r="J298" s="233"/>
      <c r="K298" s="235"/>
      <c r="L298" s="235"/>
      <c r="M298" s="233"/>
      <c r="N298" s="235"/>
      <c r="O298" s="233"/>
      <c r="P298" s="236"/>
      <c r="Q298" s="233"/>
      <c r="R298" s="233"/>
      <c r="S298" s="237"/>
      <c r="T298" s="233"/>
    </row>
    <row r="299" spans="1:20" s="19" customFormat="1" ht="64.5" customHeight="1" x14ac:dyDescent="0.3">
      <c r="A299" s="810" t="s">
        <v>5</v>
      </c>
      <c r="B299" s="812" t="s">
        <v>6</v>
      </c>
      <c r="C299" s="814" t="s">
        <v>7</v>
      </c>
      <c r="D299" s="817" t="s">
        <v>959</v>
      </c>
      <c r="E299" s="818"/>
      <c r="F299" s="819"/>
      <c r="G299" s="817" t="s">
        <v>960</v>
      </c>
      <c r="H299" s="818"/>
      <c r="I299" s="819"/>
      <c r="J299" s="817" t="s">
        <v>961</v>
      </c>
      <c r="K299" s="818"/>
      <c r="L299" s="819"/>
      <c r="M299" s="820" t="s">
        <v>8</v>
      </c>
      <c r="N299" s="823" t="s">
        <v>9</v>
      </c>
      <c r="O299" s="823" t="s">
        <v>10</v>
      </c>
      <c r="P299" s="824" t="s">
        <v>11</v>
      </c>
      <c r="Q299" s="824" t="s">
        <v>12</v>
      </c>
      <c r="R299" s="824" t="s">
        <v>13</v>
      </c>
      <c r="S299" s="812" t="s">
        <v>14</v>
      </c>
      <c r="T299" s="825" t="s">
        <v>15</v>
      </c>
    </row>
    <row r="300" spans="1:20" s="19" customFormat="1" ht="64.5" customHeight="1" x14ac:dyDescent="0.3">
      <c r="A300" s="811"/>
      <c r="B300" s="813"/>
      <c r="C300" s="815"/>
      <c r="D300" s="827" t="s">
        <v>16</v>
      </c>
      <c r="E300" s="803" t="s">
        <v>17</v>
      </c>
      <c r="F300" s="828"/>
      <c r="G300" s="827" t="s">
        <v>16</v>
      </c>
      <c r="H300" s="803" t="s">
        <v>17</v>
      </c>
      <c r="I300" s="828"/>
      <c r="J300" s="800" t="s">
        <v>18</v>
      </c>
      <c r="K300" s="803" t="s">
        <v>17</v>
      </c>
      <c r="L300" s="828"/>
      <c r="M300" s="821"/>
      <c r="N300" s="813"/>
      <c r="O300" s="813"/>
      <c r="P300" s="813"/>
      <c r="Q300" s="813"/>
      <c r="R300" s="813"/>
      <c r="S300" s="813"/>
      <c r="T300" s="826"/>
    </row>
    <row r="301" spans="1:20" s="19" customFormat="1" ht="68.25" customHeight="1" x14ac:dyDescent="0.3">
      <c r="A301" s="801"/>
      <c r="B301" s="766"/>
      <c r="C301" s="816"/>
      <c r="D301" s="801"/>
      <c r="E301" s="167" t="s">
        <v>962</v>
      </c>
      <c r="F301" s="185" t="s">
        <v>963</v>
      </c>
      <c r="G301" s="801"/>
      <c r="H301" s="167" t="s">
        <v>962</v>
      </c>
      <c r="I301" s="186" t="s">
        <v>963</v>
      </c>
      <c r="J301" s="801"/>
      <c r="K301" s="167" t="s">
        <v>962</v>
      </c>
      <c r="L301" s="185" t="s">
        <v>963</v>
      </c>
      <c r="M301" s="822"/>
      <c r="N301" s="766"/>
      <c r="O301" s="766"/>
      <c r="P301" s="766"/>
      <c r="Q301" s="766"/>
      <c r="R301" s="766"/>
      <c r="S301" s="766"/>
      <c r="T301" s="808"/>
    </row>
    <row r="302" spans="1:20" s="19" customFormat="1" ht="117" customHeight="1" x14ac:dyDescent="0.3">
      <c r="A302" s="179" t="s">
        <v>115</v>
      </c>
      <c r="B302" s="44" t="s">
        <v>312</v>
      </c>
      <c r="C302" s="49" t="s">
        <v>313</v>
      </c>
      <c r="D302" s="180">
        <f>E302+F302</f>
        <v>16832</v>
      </c>
      <c r="E302" s="143">
        <v>200</v>
      </c>
      <c r="F302" s="181">
        <v>16632</v>
      </c>
      <c r="G302" s="180">
        <f>H302+I302</f>
        <v>1658</v>
      </c>
      <c r="H302" s="143">
        <v>200</v>
      </c>
      <c r="I302" s="182">
        <v>1458</v>
      </c>
      <c r="J302" s="180">
        <v>26.5</v>
      </c>
      <c r="K302" s="143">
        <v>0</v>
      </c>
      <c r="L302" s="181">
        <f>+J302-K302</f>
        <v>26.5</v>
      </c>
      <c r="M302" s="377">
        <v>0</v>
      </c>
      <c r="N302" s="307">
        <f>(L302/F302)*100%</f>
        <v>1.5933140933140934E-3</v>
      </c>
      <c r="O302" s="138" t="s">
        <v>21</v>
      </c>
      <c r="P302" s="144" t="s">
        <v>140</v>
      </c>
      <c r="Q302" s="144" t="s">
        <v>23</v>
      </c>
      <c r="R302" s="138" t="s">
        <v>24</v>
      </c>
      <c r="S302" s="138" t="s">
        <v>25</v>
      </c>
      <c r="T302" s="184" t="s">
        <v>314</v>
      </c>
    </row>
    <row r="303" spans="1:20" s="19" customFormat="1" ht="30" customHeight="1" x14ac:dyDescent="0.3">
      <c r="A303" s="272" t="s">
        <v>27</v>
      </c>
      <c r="B303" s="273" t="s">
        <v>777</v>
      </c>
      <c r="C303" s="233"/>
      <c r="D303" s="233"/>
      <c r="E303" s="233"/>
      <c r="F303" s="233"/>
      <c r="G303" s="233"/>
      <c r="H303" s="233"/>
      <c r="I303" s="234"/>
      <c r="J303" s="233"/>
      <c r="K303" s="235"/>
      <c r="L303" s="235"/>
      <c r="M303" s="233"/>
      <c r="N303" s="235"/>
      <c r="O303" s="233"/>
      <c r="P303" s="236"/>
      <c r="Q303" s="233"/>
      <c r="R303" s="233"/>
      <c r="S303" s="233"/>
      <c r="T303" s="233"/>
    </row>
    <row r="304" spans="1:20" s="19" customFormat="1" ht="54.75" customHeight="1" x14ac:dyDescent="0.3">
      <c r="A304" s="781" t="s">
        <v>5</v>
      </c>
      <c r="B304" s="783" t="s">
        <v>663</v>
      </c>
      <c r="C304" s="783" t="s">
        <v>664</v>
      </c>
      <c r="D304" s="785" t="s">
        <v>665</v>
      </c>
      <c r="E304" s="786"/>
      <c r="F304" s="786"/>
      <c r="G304" s="787"/>
      <c r="H304" s="788" t="s">
        <v>666</v>
      </c>
      <c r="I304" s="790" t="s">
        <v>667</v>
      </c>
      <c r="J304" s="760"/>
      <c r="K304" s="791"/>
      <c r="L304" s="792" t="s">
        <v>668</v>
      </c>
      <c r="M304" s="793"/>
      <c r="N304" s="794" t="s">
        <v>43</v>
      </c>
      <c r="O304" s="783" t="s">
        <v>669</v>
      </c>
      <c r="P304" s="796" t="s">
        <v>670</v>
      </c>
      <c r="Q304" s="796" t="s">
        <v>42</v>
      </c>
      <c r="R304" s="783" t="s">
        <v>671</v>
      </c>
      <c r="S304" s="783" t="s">
        <v>44</v>
      </c>
      <c r="T304" s="798" t="s">
        <v>15</v>
      </c>
    </row>
    <row r="305" spans="1:20" s="19" customFormat="1" ht="95.25" customHeight="1" x14ac:dyDescent="0.3">
      <c r="A305" s="782"/>
      <c r="B305" s="784"/>
      <c r="C305" s="784"/>
      <c r="D305" s="405" t="s">
        <v>672</v>
      </c>
      <c r="E305" s="405" t="s">
        <v>673</v>
      </c>
      <c r="F305" s="405" t="s">
        <v>759</v>
      </c>
      <c r="G305" s="405" t="s">
        <v>17</v>
      </c>
      <c r="H305" s="789"/>
      <c r="I305" s="125" t="s">
        <v>674</v>
      </c>
      <c r="J305" s="418" t="s">
        <v>675</v>
      </c>
      <c r="K305" s="81" t="s">
        <v>676</v>
      </c>
      <c r="L305" s="82" t="s">
        <v>677</v>
      </c>
      <c r="M305" s="83" t="s">
        <v>678</v>
      </c>
      <c r="N305" s="795"/>
      <c r="O305" s="784"/>
      <c r="P305" s="797"/>
      <c r="Q305" s="797"/>
      <c r="R305" s="784"/>
      <c r="S305" s="784"/>
      <c r="T305" s="799"/>
    </row>
    <row r="306" spans="1:20" s="19" customFormat="1" ht="99" customHeight="1" x14ac:dyDescent="0.3">
      <c r="A306" s="226" t="s">
        <v>19</v>
      </c>
      <c r="B306" s="227" t="s">
        <v>679</v>
      </c>
      <c r="C306" s="228" t="s">
        <v>778</v>
      </c>
      <c r="D306" s="418" t="s">
        <v>398</v>
      </c>
      <c r="E306" s="418" t="s">
        <v>757</v>
      </c>
      <c r="F306" s="419">
        <v>26.5</v>
      </c>
      <c r="G306" s="420" t="s">
        <v>681</v>
      </c>
      <c r="H306" s="308" t="s">
        <v>779</v>
      </c>
      <c r="I306" s="125">
        <v>14.9</v>
      </c>
      <c r="J306" s="419">
        <v>0</v>
      </c>
      <c r="K306" s="419">
        <f>I306+J306</f>
        <v>14.9</v>
      </c>
      <c r="L306" s="82">
        <v>11.6</v>
      </c>
      <c r="M306" s="83" t="s">
        <v>780</v>
      </c>
      <c r="N306" s="230">
        <v>1</v>
      </c>
      <c r="O306" s="423">
        <v>1</v>
      </c>
      <c r="P306" s="231">
        <v>867000</v>
      </c>
      <c r="Q306" s="231">
        <f>+ROUND((P306*N306*K306),-3)</f>
        <v>12918000</v>
      </c>
      <c r="R306" s="231">
        <f>-ROUND((38000*J306*0.5%),-3)</f>
        <v>0</v>
      </c>
      <c r="S306" s="408">
        <f>+Q306+R306</f>
        <v>12918000</v>
      </c>
      <c r="T306" s="232" t="s">
        <v>833</v>
      </c>
    </row>
    <row r="307" spans="1:20" s="19" customFormat="1" ht="30" customHeight="1" x14ac:dyDescent="0.3">
      <c r="A307" s="272" t="s">
        <v>28</v>
      </c>
      <c r="B307" s="273" t="s">
        <v>315</v>
      </c>
      <c r="C307" s="233"/>
      <c r="D307" s="233"/>
      <c r="E307" s="233"/>
      <c r="F307" s="233"/>
      <c r="G307" s="233"/>
      <c r="H307" s="233"/>
      <c r="I307" s="234"/>
      <c r="J307" s="233"/>
      <c r="K307" s="235"/>
      <c r="L307" s="235"/>
      <c r="M307" s="233"/>
      <c r="N307" s="235"/>
      <c r="O307" s="233"/>
      <c r="P307" s="236"/>
      <c r="Q307" s="237"/>
      <c r="R307" s="237"/>
      <c r="S307" s="237"/>
      <c r="T307" s="237"/>
    </row>
    <row r="308" spans="1:20" s="19" customFormat="1" ht="30" customHeight="1" x14ac:dyDescent="0.3">
      <c r="A308" s="272" t="s">
        <v>56</v>
      </c>
      <c r="B308" s="273" t="s">
        <v>316</v>
      </c>
      <c r="C308" s="233"/>
      <c r="D308" s="233"/>
      <c r="E308" s="233"/>
      <c r="F308" s="233"/>
      <c r="G308" s="233"/>
      <c r="H308" s="233"/>
      <c r="I308" s="234"/>
      <c r="J308" s="233"/>
      <c r="K308" s="235"/>
      <c r="L308" s="235"/>
      <c r="M308" s="233"/>
      <c r="N308" s="235"/>
      <c r="O308" s="233"/>
      <c r="P308" s="236"/>
      <c r="Q308" s="233"/>
      <c r="R308" s="233"/>
      <c r="S308" s="203">
        <f>S322</f>
        <v>31493000</v>
      </c>
      <c r="T308" s="233"/>
    </row>
    <row r="309" spans="1:20" s="19" customFormat="1" ht="18.75" customHeight="1" x14ac:dyDescent="0.3">
      <c r="A309" s="765"/>
      <c r="B309" s="767" t="s">
        <v>51</v>
      </c>
      <c r="C309" s="767" t="s">
        <v>58</v>
      </c>
      <c r="D309" s="887" t="s">
        <v>59</v>
      </c>
      <c r="E309" s="769" t="s">
        <v>60</v>
      </c>
      <c r="F309" s="769" t="s">
        <v>61</v>
      </c>
      <c r="G309" s="769" t="s">
        <v>62</v>
      </c>
      <c r="H309" s="769" t="s">
        <v>63</v>
      </c>
      <c r="I309" s="770" t="s">
        <v>64</v>
      </c>
      <c r="J309" s="757"/>
      <c r="K309" s="757"/>
      <c r="L309" s="757"/>
      <c r="M309" s="758"/>
      <c r="N309" s="771" t="s">
        <v>3</v>
      </c>
      <c r="O309" s="771" t="s">
        <v>65</v>
      </c>
      <c r="P309" s="771" t="s">
        <v>66</v>
      </c>
      <c r="Q309" s="771" t="s">
        <v>67</v>
      </c>
      <c r="R309" s="767" t="s">
        <v>68</v>
      </c>
      <c r="S309" s="767" t="s">
        <v>69</v>
      </c>
      <c r="T309" s="767" t="s">
        <v>70</v>
      </c>
    </row>
    <row r="310" spans="1:20" s="19" customFormat="1" ht="18.75" customHeight="1" x14ac:dyDescent="0.3">
      <c r="A310" s="766"/>
      <c r="B310" s="766"/>
      <c r="C310" s="766"/>
      <c r="D310" s="766"/>
      <c r="E310" s="766"/>
      <c r="F310" s="766"/>
      <c r="G310" s="766"/>
      <c r="H310" s="766"/>
      <c r="I310" s="168" t="s">
        <v>71</v>
      </c>
      <c r="J310" s="159" t="s">
        <v>72</v>
      </c>
      <c r="K310" s="159" t="s">
        <v>73</v>
      </c>
      <c r="L310" s="45" t="s">
        <v>74</v>
      </c>
      <c r="M310" s="204" t="s">
        <v>75</v>
      </c>
      <c r="N310" s="766"/>
      <c r="O310" s="766"/>
      <c r="P310" s="766"/>
      <c r="Q310" s="766"/>
      <c r="R310" s="766"/>
      <c r="S310" s="766"/>
      <c r="T310" s="766"/>
    </row>
    <row r="311" spans="1:20" s="19" customFormat="1" ht="93" customHeight="1" x14ac:dyDescent="0.3">
      <c r="A311" s="196" t="s">
        <v>5</v>
      </c>
      <c r="B311" s="197" t="s">
        <v>76</v>
      </c>
      <c r="C311" s="197" t="s">
        <v>77</v>
      </c>
      <c r="D311" s="197" t="s">
        <v>78</v>
      </c>
      <c r="E311" s="198" t="s">
        <v>79</v>
      </c>
      <c r="F311" s="198" t="s">
        <v>80</v>
      </c>
      <c r="G311" s="198" t="s">
        <v>81</v>
      </c>
      <c r="H311" s="199" t="s">
        <v>82</v>
      </c>
      <c r="I311" s="200" t="s">
        <v>83</v>
      </c>
      <c r="J311" s="201" t="s">
        <v>84</v>
      </c>
      <c r="K311" s="201" t="s">
        <v>85</v>
      </c>
      <c r="L311" s="197" t="s">
        <v>86</v>
      </c>
      <c r="M311" s="202" t="s">
        <v>87</v>
      </c>
      <c r="N311" s="198" t="s">
        <v>88</v>
      </c>
      <c r="O311" s="198" t="s">
        <v>89</v>
      </c>
      <c r="P311" s="198" t="s">
        <v>90</v>
      </c>
      <c r="Q311" s="198" t="s">
        <v>91</v>
      </c>
      <c r="R311" s="198" t="s">
        <v>92</v>
      </c>
      <c r="S311" s="198" t="s">
        <v>964</v>
      </c>
      <c r="T311" s="159" t="s">
        <v>15</v>
      </c>
    </row>
    <row r="312" spans="1:20" ht="73.5" customHeight="1" x14ac:dyDescent="0.3">
      <c r="A312" s="582">
        <v>1</v>
      </c>
      <c r="B312" s="560" t="s">
        <v>899</v>
      </c>
      <c r="C312" s="560" t="s">
        <v>317</v>
      </c>
      <c r="D312" s="561" t="s">
        <v>100</v>
      </c>
      <c r="E312" s="561">
        <v>2002</v>
      </c>
      <c r="F312" s="527"/>
      <c r="G312" s="561">
        <v>24</v>
      </c>
      <c r="H312" s="561" t="s">
        <v>95</v>
      </c>
      <c r="I312" s="562">
        <f>0.3*0.7*5*2</f>
        <v>2.1</v>
      </c>
      <c r="J312" s="561">
        <v>0</v>
      </c>
      <c r="K312" s="583">
        <f t="shared" ref="K312:K321" si="42">+I312-J312</f>
        <v>2.1</v>
      </c>
      <c r="L312" s="561">
        <v>0.99199999999999999</v>
      </c>
      <c r="M312" s="563">
        <v>2360000</v>
      </c>
      <c r="N312" s="564">
        <v>0.2</v>
      </c>
      <c r="O312" s="563">
        <v>2360000</v>
      </c>
      <c r="P312" s="584">
        <v>2439000</v>
      </c>
      <c r="Q312" s="561" t="s">
        <v>97</v>
      </c>
      <c r="R312" s="561" t="s">
        <v>97</v>
      </c>
      <c r="S312" s="584">
        <v>2439000</v>
      </c>
      <c r="T312" s="585" t="s">
        <v>935</v>
      </c>
    </row>
    <row r="313" spans="1:20" ht="77.099999999999994" customHeight="1" x14ac:dyDescent="0.3">
      <c r="A313" s="582">
        <v>2</v>
      </c>
      <c r="B313" s="544" t="s">
        <v>867</v>
      </c>
      <c r="C313" s="560" t="s">
        <v>868</v>
      </c>
      <c r="D313" s="561" t="s">
        <v>100</v>
      </c>
      <c r="E313" s="561">
        <v>2002</v>
      </c>
      <c r="F313" s="527"/>
      <c r="G313" s="561">
        <v>24</v>
      </c>
      <c r="H313" s="561" t="s">
        <v>95</v>
      </c>
      <c r="I313" s="562">
        <f>0.1*1*1*5</f>
        <v>0.5</v>
      </c>
      <c r="J313" s="586">
        <v>0</v>
      </c>
      <c r="K313" s="583">
        <f t="shared" si="42"/>
        <v>0.5</v>
      </c>
      <c r="L313" s="587">
        <v>0.99199999999999999</v>
      </c>
      <c r="M313" s="563">
        <v>6270000</v>
      </c>
      <c r="N313" s="564">
        <v>0.2</v>
      </c>
      <c r="O313" s="541">
        <f t="shared" ref="O313:O318" si="43">M313</f>
        <v>6270000</v>
      </c>
      <c r="P313" s="584">
        <v>622000</v>
      </c>
      <c r="Q313" s="561" t="s">
        <v>97</v>
      </c>
      <c r="R313" s="561" t="s">
        <v>97</v>
      </c>
      <c r="S313" s="584">
        <v>622000</v>
      </c>
      <c r="T313" s="585" t="s">
        <v>930</v>
      </c>
    </row>
    <row r="314" spans="1:20" ht="36.75" customHeight="1" x14ac:dyDescent="0.3">
      <c r="A314" s="588">
        <v>3</v>
      </c>
      <c r="B314" s="589" t="s">
        <v>319</v>
      </c>
      <c r="C314" s="589" t="s">
        <v>320</v>
      </c>
      <c r="D314" s="590" t="s">
        <v>94</v>
      </c>
      <c r="E314" s="591">
        <v>2002</v>
      </c>
      <c r="F314" s="592"/>
      <c r="G314" s="591">
        <f t="shared" ref="G314:G321" si="44">2026-E314</f>
        <v>24</v>
      </c>
      <c r="H314" s="593" t="s">
        <v>95</v>
      </c>
      <c r="I314" s="594">
        <f>3.6*6</f>
        <v>21.6</v>
      </c>
      <c r="J314" s="595" t="s">
        <v>96</v>
      </c>
      <c r="K314" s="583">
        <f t="shared" si="42"/>
        <v>21.6</v>
      </c>
      <c r="L314" s="596">
        <v>0.99199999999999999</v>
      </c>
      <c r="M314" s="597">
        <v>268000</v>
      </c>
      <c r="N314" s="598">
        <v>0.8</v>
      </c>
      <c r="O314" s="541">
        <f t="shared" si="43"/>
        <v>268000</v>
      </c>
      <c r="P314" s="599">
        <f t="shared" ref="P314:P321" si="45">+ROUND((K314*L314*O314*N314),-3)</f>
        <v>4594000</v>
      </c>
      <c r="Q314" s="597" t="s">
        <v>97</v>
      </c>
      <c r="R314" s="597" t="s">
        <v>97</v>
      </c>
      <c r="S314" s="599">
        <f t="shared" ref="S314:S321" si="46">P314</f>
        <v>4594000</v>
      </c>
      <c r="T314" s="600" t="s">
        <v>166</v>
      </c>
    </row>
    <row r="315" spans="1:20" ht="45" customHeight="1" x14ac:dyDescent="0.3">
      <c r="A315" s="582">
        <v>4</v>
      </c>
      <c r="B315" s="544" t="s">
        <v>126</v>
      </c>
      <c r="C315" s="544" t="s">
        <v>870</v>
      </c>
      <c r="D315" s="573" t="s">
        <v>100</v>
      </c>
      <c r="E315" s="573">
        <v>2002</v>
      </c>
      <c r="F315" s="577"/>
      <c r="G315" s="573">
        <v>24</v>
      </c>
      <c r="H315" s="573" t="s">
        <v>95</v>
      </c>
      <c r="I315" s="601">
        <f>0.6*2.5*3.1</f>
        <v>4.6500000000000004</v>
      </c>
      <c r="J315" s="602">
        <v>0</v>
      </c>
      <c r="K315" s="583">
        <f t="shared" si="42"/>
        <v>4.6500000000000004</v>
      </c>
      <c r="L315" s="603">
        <v>0.99199999999999999</v>
      </c>
      <c r="M315" s="604">
        <v>2360000</v>
      </c>
      <c r="N315" s="605">
        <v>0.8</v>
      </c>
      <c r="O315" s="541">
        <f t="shared" si="43"/>
        <v>2360000</v>
      </c>
      <c r="P315" s="606">
        <v>8709000</v>
      </c>
      <c r="Q315" s="573" t="s">
        <v>97</v>
      </c>
      <c r="R315" s="573" t="s">
        <v>97</v>
      </c>
      <c r="S315" s="606">
        <v>8709000</v>
      </c>
      <c r="T315" s="573" t="s">
        <v>288</v>
      </c>
    </row>
    <row r="316" spans="1:20" ht="72.95" customHeight="1" x14ac:dyDescent="0.3">
      <c r="A316" s="582">
        <v>5</v>
      </c>
      <c r="B316" s="548" t="s">
        <v>866</v>
      </c>
      <c r="C316" s="548" t="s">
        <v>871</v>
      </c>
      <c r="D316" s="575" t="s">
        <v>100</v>
      </c>
      <c r="E316" s="575">
        <v>2002</v>
      </c>
      <c r="F316" s="607"/>
      <c r="G316" s="575">
        <v>24</v>
      </c>
      <c r="H316" s="575" t="s">
        <v>95</v>
      </c>
      <c r="I316" s="608">
        <f>I315</f>
        <v>4.6500000000000004</v>
      </c>
      <c r="J316" s="609">
        <v>0</v>
      </c>
      <c r="K316" s="583">
        <f t="shared" si="42"/>
        <v>4.6500000000000004</v>
      </c>
      <c r="L316" s="610">
        <v>0.99199999999999999</v>
      </c>
      <c r="M316" s="611">
        <v>2360000</v>
      </c>
      <c r="N316" s="612">
        <v>0.2</v>
      </c>
      <c r="O316" s="541">
        <f t="shared" si="43"/>
        <v>2360000</v>
      </c>
      <c r="P316" s="613">
        <v>1334000</v>
      </c>
      <c r="Q316" s="575" t="s">
        <v>97</v>
      </c>
      <c r="R316" s="575" t="s">
        <v>97</v>
      </c>
      <c r="S316" s="613">
        <v>1334000</v>
      </c>
      <c r="T316" s="585" t="s">
        <v>934</v>
      </c>
    </row>
    <row r="317" spans="1:20" ht="50.25" customHeight="1" x14ac:dyDescent="0.3">
      <c r="A317" s="582">
        <v>6</v>
      </c>
      <c r="B317" s="544" t="s">
        <v>126</v>
      </c>
      <c r="C317" s="544" t="s">
        <v>872</v>
      </c>
      <c r="D317" s="573" t="s">
        <v>100</v>
      </c>
      <c r="E317" s="573">
        <v>2002</v>
      </c>
      <c r="F317" s="577"/>
      <c r="G317" s="573">
        <v>24</v>
      </c>
      <c r="H317" s="573" t="s">
        <v>95</v>
      </c>
      <c r="I317" s="601">
        <f>0.2*0.2*1.1</f>
        <v>4.4000000000000011E-2</v>
      </c>
      <c r="J317" s="602">
        <v>0</v>
      </c>
      <c r="K317" s="583">
        <f t="shared" si="42"/>
        <v>4.4000000000000011E-2</v>
      </c>
      <c r="L317" s="603">
        <v>0.99199999999999999</v>
      </c>
      <c r="M317" s="604">
        <v>2446000</v>
      </c>
      <c r="N317" s="605">
        <v>0.8</v>
      </c>
      <c r="O317" s="541">
        <f t="shared" si="43"/>
        <v>2446000</v>
      </c>
      <c r="P317" s="606">
        <v>82000</v>
      </c>
      <c r="Q317" s="573" t="s">
        <v>97</v>
      </c>
      <c r="R317" s="573" t="s">
        <v>97</v>
      </c>
      <c r="S317" s="606">
        <v>82000</v>
      </c>
      <c r="T317" s="573" t="s">
        <v>321</v>
      </c>
    </row>
    <row r="318" spans="1:20" ht="72" customHeight="1" x14ac:dyDescent="0.3">
      <c r="A318" s="582">
        <v>7</v>
      </c>
      <c r="B318" s="544" t="s">
        <v>866</v>
      </c>
      <c r="C318" s="544" t="s">
        <v>873</v>
      </c>
      <c r="D318" s="573" t="s">
        <v>100</v>
      </c>
      <c r="E318" s="573">
        <v>2002</v>
      </c>
      <c r="F318" s="577"/>
      <c r="G318" s="573">
        <v>24</v>
      </c>
      <c r="H318" s="573" t="s">
        <v>95</v>
      </c>
      <c r="I318" s="601">
        <f>0.2*0.2*1.9</f>
        <v>7.6000000000000012E-2</v>
      </c>
      <c r="J318" s="602">
        <v>0</v>
      </c>
      <c r="K318" s="583">
        <f t="shared" si="42"/>
        <v>7.6000000000000012E-2</v>
      </c>
      <c r="L318" s="603">
        <v>0.99199999999999999</v>
      </c>
      <c r="M318" s="604">
        <v>2446000</v>
      </c>
      <c r="N318" s="605">
        <v>0.2</v>
      </c>
      <c r="O318" s="541">
        <f t="shared" si="43"/>
        <v>2446000</v>
      </c>
      <c r="P318" s="606">
        <v>36000</v>
      </c>
      <c r="Q318" s="573" t="s">
        <v>97</v>
      </c>
      <c r="R318" s="573" t="s">
        <v>97</v>
      </c>
      <c r="S318" s="606">
        <v>36000</v>
      </c>
      <c r="T318" s="585" t="s">
        <v>934</v>
      </c>
    </row>
    <row r="319" spans="1:20" ht="60" customHeight="1" x14ac:dyDescent="0.3">
      <c r="A319" s="582">
        <v>8</v>
      </c>
      <c r="B319" s="507" t="s">
        <v>99</v>
      </c>
      <c r="C319" s="507" t="s">
        <v>322</v>
      </c>
      <c r="D319" s="510" t="s">
        <v>100</v>
      </c>
      <c r="E319" s="614">
        <v>2002</v>
      </c>
      <c r="F319" s="615"/>
      <c r="G319" s="535">
        <f t="shared" si="44"/>
        <v>24</v>
      </c>
      <c r="H319" s="536" t="s">
        <v>95</v>
      </c>
      <c r="I319" s="509">
        <f>0.4*0.4*3</f>
        <v>0.48000000000000009</v>
      </c>
      <c r="J319" s="616" t="s">
        <v>96</v>
      </c>
      <c r="K319" s="583">
        <f t="shared" si="42"/>
        <v>0.48000000000000009</v>
      </c>
      <c r="L319" s="617">
        <v>0.99199999999999999</v>
      </c>
      <c r="M319" s="541">
        <v>2556000</v>
      </c>
      <c r="N319" s="540">
        <v>0.8</v>
      </c>
      <c r="O319" s="541">
        <f>M319</f>
        <v>2556000</v>
      </c>
      <c r="P319" s="542">
        <f t="shared" si="45"/>
        <v>974000</v>
      </c>
      <c r="Q319" s="541" t="s">
        <v>97</v>
      </c>
      <c r="R319" s="541" t="s">
        <v>97</v>
      </c>
      <c r="S319" s="542">
        <f t="shared" si="46"/>
        <v>974000</v>
      </c>
      <c r="T319" s="536" t="s">
        <v>169</v>
      </c>
    </row>
    <row r="320" spans="1:20" ht="60" customHeight="1" x14ac:dyDescent="0.3">
      <c r="A320" s="582">
        <v>9</v>
      </c>
      <c r="B320" s="498" t="s">
        <v>323</v>
      </c>
      <c r="C320" s="498" t="s">
        <v>324</v>
      </c>
      <c r="D320" s="499" t="s">
        <v>94</v>
      </c>
      <c r="E320" s="500">
        <v>2002</v>
      </c>
      <c r="F320" s="458"/>
      <c r="G320" s="457">
        <f t="shared" si="44"/>
        <v>24</v>
      </c>
      <c r="H320" s="460" t="s">
        <v>95</v>
      </c>
      <c r="I320" s="501">
        <f>3.5*2.4</f>
        <v>8.4</v>
      </c>
      <c r="J320" s="618" t="s">
        <v>96</v>
      </c>
      <c r="K320" s="583">
        <f t="shared" si="42"/>
        <v>8.4</v>
      </c>
      <c r="L320" s="619">
        <v>0.99199999999999999</v>
      </c>
      <c r="M320" s="463">
        <v>835000</v>
      </c>
      <c r="N320" s="464">
        <v>0.8</v>
      </c>
      <c r="O320" s="541">
        <f t="shared" ref="O320" si="47">M320</f>
        <v>835000</v>
      </c>
      <c r="P320" s="459">
        <f t="shared" si="45"/>
        <v>5566000</v>
      </c>
      <c r="Q320" s="463" t="s">
        <v>97</v>
      </c>
      <c r="R320" s="463" t="s">
        <v>97</v>
      </c>
      <c r="S320" s="459">
        <f t="shared" si="46"/>
        <v>5566000</v>
      </c>
      <c r="T320" s="460" t="s">
        <v>174</v>
      </c>
    </row>
    <row r="321" spans="1:20" ht="126.75" customHeight="1" x14ac:dyDescent="0.3">
      <c r="A321" s="582">
        <v>10</v>
      </c>
      <c r="B321" s="498" t="s">
        <v>325</v>
      </c>
      <c r="C321" s="498" t="s">
        <v>1042</v>
      </c>
      <c r="D321" s="499" t="s">
        <v>100</v>
      </c>
      <c r="E321" s="500">
        <v>2002</v>
      </c>
      <c r="F321" s="458"/>
      <c r="G321" s="457">
        <f t="shared" si="44"/>
        <v>24</v>
      </c>
      <c r="H321" s="460" t="s">
        <v>95</v>
      </c>
      <c r="I321" s="501">
        <f>4*2.1</f>
        <v>8.4</v>
      </c>
      <c r="J321" s="618" t="s">
        <v>96</v>
      </c>
      <c r="K321" s="583">
        <f t="shared" si="42"/>
        <v>8.4</v>
      </c>
      <c r="L321" s="619">
        <v>0.99199999999999999</v>
      </c>
      <c r="M321" s="463">
        <v>1487000</v>
      </c>
      <c r="N321" s="464">
        <v>0.8</v>
      </c>
      <c r="O321" s="541">
        <f>M321*80%*90%</f>
        <v>1070640</v>
      </c>
      <c r="P321" s="459">
        <f t="shared" si="45"/>
        <v>7137000</v>
      </c>
      <c r="Q321" s="463" t="s">
        <v>97</v>
      </c>
      <c r="R321" s="463" t="s">
        <v>97</v>
      </c>
      <c r="S321" s="459">
        <f t="shared" si="46"/>
        <v>7137000</v>
      </c>
      <c r="T321" s="460" t="s">
        <v>1009</v>
      </c>
    </row>
    <row r="322" spans="1:20" s="19" customFormat="1" ht="18.75" x14ac:dyDescent="0.3">
      <c r="A322" s="313"/>
      <c r="B322" s="166" t="s">
        <v>55</v>
      </c>
      <c r="C322" s="166"/>
      <c r="D322" s="159"/>
      <c r="E322" s="159"/>
      <c r="F322" s="167"/>
      <c r="G322" s="167"/>
      <c r="H322" s="167"/>
      <c r="I322" s="168"/>
      <c r="J322" s="167"/>
      <c r="K322" s="251"/>
      <c r="L322" s="167"/>
      <c r="M322" s="167"/>
      <c r="N322" s="167"/>
      <c r="O322" s="167"/>
      <c r="P322" s="167"/>
      <c r="Q322" s="167"/>
      <c r="R322" s="45"/>
      <c r="S322" s="45">
        <f>SUM(S312:S321)</f>
        <v>31493000</v>
      </c>
      <c r="T322" s="167"/>
    </row>
    <row r="323" spans="1:20" s="19" customFormat="1" ht="36" customHeight="1" x14ac:dyDescent="0.3">
      <c r="A323" s="171" t="s">
        <v>131</v>
      </c>
      <c r="B323" s="172" t="s">
        <v>132</v>
      </c>
      <c r="C323" s="173"/>
      <c r="D323" s="466"/>
      <c r="E323" s="466"/>
      <c r="F323" s="466"/>
      <c r="G323" s="466"/>
      <c r="H323" s="466"/>
      <c r="I323" s="467"/>
      <c r="J323" s="466"/>
      <c r="K323" s="468"/>
      <c r="L323" s="468"/>
      <c r="M323" s="466"/>
      <c r="N323" s="468"/>
      <c r="O323" s="466"/>
      <c r="P323" s="469"/>
      <c r="Q323" s="466"/>
      <c r="R323" s="466"/>
      <c r="S323" s="470"/>
      <c r="T323" s="466"/>
    </row>
    <row r="324" spans="1:20" s="19" customFormat="1" ht="36" customHeight="1" x14ac:dyDescent="0.3">
      <c r="A324" s="171" t="s">
        <v>133</v>
      </c>
      <c r="B324" s="172" t="s">
        <v>134</v>
      </c>
      <c r="C324" s="174"/>
      <c r="D324" s="174"/>
      <c r="E324" s="174"/>
      <c r="F324" s="174"/>
      <c r="G324" s="174"/>
      <c r="H324" s="174"/>
      <c r="I324" s="175"/>
      <c r="J324" s="174"/>
      <c r="K324" s="176"/>
      <c r="L324" s="176"/>
      <c r="M324" s="174"/>
      <c r="N324" s="176"/>
      <c r="O324" s="174"/>
      <c r="P324" s="177"/>
      <c r="Q324" s="174"/>
      <c r="R324" s="174"/>
      <c r="S324" s="174"/>
      <c r="T324" s="174"/>
    </row>
    <row r="325" spans="1:20" s="19" customFormat="1" ht="36" customHeight="1" x14ac:dyDescent="0.3">
      <c r="A325" s="178" t="s">
        <v>135</v>
      </c>
      <c r="B325" s="756" t="s">
        <v>326</v>
      </c>
      <c r="C325" s="757"/>
      <c r="D325" s="757"/>
      <c r="E325" s="757"/>
      <c r="F325" s="757"/>
      <c r="G325" s="757"/>
      <c r="H325" s="757"/>
      <c r="I325" s="757"/>
      <c r="J325" s="757"/>
      <c r="K325" s="757"/>
      <c r="L325" s="757"/>
      <c r="M325" s="757"/>
      <c r="N325" s="757"/>
      <c r="O325" s="757"/>
      <c r="P325" s="757"/>
      <c r="Q325" s="757"/>
      <c r="R325" s="758"/>
      <c r="S325" s="29">
        <f>+S322</f>
        <v>31493000</v>
      </c>
      <c r="T325" s="174" t="s">
        <v>137</v>
      </c>
    </row>
    <row r="326" spans="1:20" ht="28.5" customHeight="1" x14ac:dyDescent="0.3">
      <c r="A326" s="474"/>
      <c r="B326" s="829" t="s">
        <v>327</v>
      </c>
      <c r="C326" s="773"/>
      <c r="D326" s="773"/>
      <c r="E326" s="773"/>
      <c r="F326" s="773"/>
      <c r="G326" s="773"/>
      <c r="H326" s="773"/>
      <c r="I326" s="773"/>
      <c r="J326" s="773"/>
      <c r="K326" s="773"/>
      <c r="L326" s="773"/>
      <c r="M326" s="773"/>
      <c r="N326" s="773"/>
      <c r="O326" s="773"/>
      <c r="P326" s="773"/>
      <c r="Q326" s="773"/>
      <c r="R326" s="773"/>
      <c r="S326" s="773"/>
      <c r="T326" s="474"/>
    </row>
    <row r="327" spans="1:20" ht="18.75" customHeight="1" x14ac:dyDescent="0.3">
      <c r="A327" s="474"/>
      <c r="B327" s="772" t="s">
        <v>1</v>
      </c>
      <c r="C327" s="773"/>
      <c r="D327" s="773"/>
      <c r="E327" s="773"/>
      <c r="F327" s="773"/>
      <c r="G327" s="773"/>
      <c r="H327" s="773"/>
      <c r="I327" s="773"/>
      <c r="J327" s="773"/>
      <c r="K327" s="773"/>
      <c r="L327" s="773"/>
      <c r="M327" s="773"/>
      <c r="N327" s="773"/>
      <c r="O327" s="773"/>
      <c r="P327" s="773"/>
      <c r="Q327" s="773"/>
      <c r="R327" s="773"/>
      <c r="S327" s="773"/>
      <c r="T327" s="474"/>
    </row>
    <row r="328" spans="1:20" ht="18.75" customHeight="1" x14ac:dyDescent="0.3">
      <c r="A328" s="474"/>
      <c r="B328" s="772" t="s">
        <v>2</v>
      </c>
      <c r="C328" s="773"/>
      <c r="D328" s="773"/>
      <c r="E328" s="773"/>
      <c r="F328" s="773"/>
      <c r="G328" s="773"/>
      <c r="H328" s="773"/>
      <c r="I328" s="773"/>
      <c r="J328" s="773"/>
      <c r="K328" s="773"/>
      <c r="L328" s="773"/>
      <c r="M328" s="773"/>
      <c r="N328" s="773"/>
      <c r="O328" s="773"/>
      <c r="P328" s="773"/>
      <c r="Q328" s="773"/>
      <c r="R328" s="773"/>
      <c r="S328" s="773"/>
      <c r="T328" s="474"/>
    </row>
    <row r="329" spans="1:20" ht="18.75" customHeight="1" x14ac:dyDescent="0.3">
      <c r="A329" s="475"/>
      <c r="B329" s="809" t="str">
        <f>B297</f>
        <v>(Kèm theo Quyết định số     /QĐ-UBND ngày     tháng     năm 2026 của Ủy ban nhân dân xã Thuận An)</v>
      </c>
      <c r="C329" s="773"/>
      <c r="D329" s="773"/>
      <c r="E329" s="773"/>
      <c r="F329" s="773"/>
      <c r="G329" s="773"/>
      <c r="H329" s="773"/>
      <c r="I329" s="773"/>
      <c r="J329" s="773"/>
      <c r="K329" s="773"/>
      <c r="L329" s="773"/>
      <c r="M329" s="773"/>
      <c r="N329" s="773"/>
      <c r="O329" s="773"/>
      <c r="P329" s="773"/>
      <c r="Q329" s="773"/>
      <c r="R329" s="773"/>
      <c r="S329" s="773"/>
      <c r="T329" s="475"/>
    </row>
    <row r="330" spans="1:20" s="19" customFormat="1" ht="18.75" customHeight="1" thickBot="1" x14ac:dyDescent="0.35">
      <c r="A330" s="272" t="s">
        <v>3</v>
      </c>
      <c r="B330" s="273" t="s">
        <v>4</v>
      </c>
      <c r="C330" s="233"/>
      <c r="D330" s="233"/>
      <c r="E330" s="233"/>
      <c r="F330" s="233"/>
      <c r="G330" s="233"/>
      <c r="H330" s="233"/>
      <c r="I330" s="234"/>
      <c r="J330" s="233"/>
      <c r="K330" s="235"/>
      <c r="L330" s="235"/>
      <c r="M330" s="233"/>
      <c r="N330" s="235"/>
      <c r="O330" s="233"/>
      <c r="P330" s="236"/>
      <c r="Q330" s="233"/>
      <c r="R330" s="233"/>
      <c r="S330" s="237"/>
      <c r="T330" s="233"/>
    </row>
    <row r="331" spans="1:20" s="19" customFormat="1" ht="45" customHeight="1" x14ac:dyDescent="0.3">
      <c r="A331" s="810" t="s">
        <v>5</v>
      </c>
      <c r="B331" s="814" t="s">
        <v>6</v>
      </c>
      <c r="C331" s="778" t="s">
        <v>7</v>
      </c>
      <c r="D331" s="778" t="s">
        <v>959</v>
      </c>
      <c r="E331" s="777"/>
      <c r="F331" s="777"/>
      <c r="G331" s="778" t="s">
        <v>960</v>
      </c>
      <c r="H331" s="777"/>
      <c r="I331" s="777"/>
      <c r="J331" s="778" t="s">
        <v>961</v>
      </c>
      <c r="K331" s="777"/>
      <c r="L331" s="777"/>
      <c r="M331" s="779" t="s">
        <v>8</v>
      </c>
      <c r="N331" s="779" t="s">
        <v>9</v>
      </c>
      <c r="O331" s="779" t="s">
        <v>10</v>
      </c>
      <c r="P331" s="780" t="s">
        <v>11</v>
      </c>
      <c r="Q331" s="780" t="s">
        <v>12</v>
      </c>
      <c r="R331" s="850" t="s">
        <v>13</v>
      </c>
      <c r="S331" s="812" t="s">
        <v>14</v>
      </c>
      <c r="T331" s="825" t="s">
        <v>15</v>
      </c>
    </row>
    <row r="332" spans="1:20" s="19" customFormat="1" ht="64.5" customHeight="1" x14ac:dyDescent="0.3">
      <c r="A332" s="811"/>
      <c r="B332" s="815"/>
      <c r="C332" s="777"/>
      <c r="D332" s="778" t="s">
        <v>16</v>
      </c>
      <c r="E332" s="778" t="s">
        <v>17</v>
      </c>
      <c r="F332" s="777"/>
      <c r="G332" s="778" t="s">
        <v>16</v>
      </c>
      <c r="H332" s="778" t="s">
        <v>17</v>
      </c>
      <c r="I332" s="777"/>
      <c r="J332" s="776" t="s">
        <v>18</v>
      </c>
      <c r="K332" s="778" t="s">
        <v>17</v>
      </c>
      <c r="L332" s="777"/>
      <c r="M332" s="777"/>
      <c r="N332" s="777"/>
      <c r="O332" s="777"/>
      <c r="P332" s="777"/>
      <c r="Q332" s="777"/>
      <c r="R332" s="821"/>
      <c r="S332" s="813"/>
      <c r="T332" s="826"/>
    </row>
    <row r="333" spans="1:20" s="19" customFormat="1" ht="79.5" customHeight="1" x14ac:dyDescent="0.3">
      <c r="A333" s="801"/>
      <c r="B333" s="816"/>
      <c r="C333" s="777"/>
      <c r="D333" s="777"/>
      <c r="E333" s="415" t="s">
        <v>962</v>
      </c>
      <c r="F333" s="415" t="s">
        <v>963</v>
      </c>
      <c r="G333" s="777"/>
      <c r="H333" s="415" t="s">
        <v>962</v>
      </c>
      <c r="I333" s="189" t="s">
        <v>963</v>
      </c>
      <c r="J333" s="777"/>
      <c r="K333" s="415" t="s">
        <v>962</v>
      </c>
      <c r="L333" s="415" t="s">
        <v>963</v>
      </c>
      <c r="M333" s="777"/>
      <c r="N333" s="777"/>
      <c r="O333" s="777"/>
      <c r="P333" s="777"/>
      <c r="Q333" s="777"/>
      <c r="R333" s="822"/>
      <c r="S333" s="766"/>
      <c r="T333" s="808"/>
    </row>
    <row r="334" spans="1:20" s="19" customFormat="1" ht="103.5" customHeight="1" x14ac:dyDescent="0.3">
      <c r="A334" s="179" t="s">
        <v>119</v>
      </c>
      <c r="B334" s="346" t="s">
        <v>751</v>
      </c>
      <c r="C334" s="424" t="s">
        <v>328</v>
      </c>
      <c r="D334" s="191">
        <f>E334+F334</f>
        <v>323.5</v>
      </c>
      <c r="E334" s="191">
        <v>95</v>
      </c>
      <c r="F334" s="191">
        <v>228.5</v>
      </c>
      <c r="G334" s="191">
        <f>H334+I334</f>
        <v>323.5</v>
      </c>
      <c r="H334" s="191">
        <v>95</v>
      </c>
      <c r="I334" s="192">
        <v>228.5</v>
      </c>
      <c r="J334" s="191">
        <v>69.7</v>
      </c>
      <c r="K334" s="191">
        <v>0</v>
      </c>
      <c r="L334" s="191">
        <f>+J334-K334</f>
        <v>69.7</v>
      </c>
      <c r="M334" s="193">
        <v>0</v>
      </c>
      <c r="N334" s="314">
        <f>(L334/F334)*100%</f>
        <v>0.30503282275711163</v>
      </c>
      <c r="O334" s="248" t="s">
        <v>21</v>
      </c>
      <c r="P334" s="195" t="s">
        <v>197</v>
      </c>
      <c r="Q334" s="195" t="s">
        <v>23</v>
      </c>
      <c r="R334" s="350" t="s">
        <v>24</v>
      </c>
      <c r="S334" s="138" t="s">
        <v>25</v>
      </c>
      <c r="T334" s="184" t="s">
        <v>329</v>
      </c>
    </row>
    <row r="335" spans="1:20" s="19" customFormat="1" ht="19.5" x14ac:dyDescent="0.3">
      <c r="A335" s="272" t="s">
        <v>27</v>
      </c>
      <c r="B335" s="273" t="s">
        <v>777</v>
      </c>
      <c r="C335" s="301"/>
      <c r="D335" s="301"/>
      <c r="E335" s="301"/>
      <c r="F335" s="301"/>
      <c r="G335" s="301"/>
      <c r="H335" s="301"/>
      <c r="I335" s="302"/>
      <c r="J335" s="301"/>
      <c r="K335" s="303"/>
      <c r="L335" s="303"/>
      <c r="M335" s="301"/>
      <c r="N335" s="303"/>
      <c r="O335" s="301"/>
      <c r="P335" s="304"/>
      <c r="Q335" s="301"/>
      <c r="R335" s="233"/>
      <c r="S335" s="233"/>
      <c r="T335" s="233"/>
    </row>
    <row r="336" spans="1:20" s="19" customFormat="1" ht="71.25" customHeight="1" x14ac:dyDescent="0.3">
      <c r="A336" s="781" t="s">
        <v>5</v>
      </c>
      <c r="B336" s="788" t="s">
        <v>663</v>
      </c>
      <c r="C336" s="761" t="s">
        <v>664</v>
      </c>
      <c r="D336" s="761" t="s">
        <v>665</v>
      </c>
      <c r="E336" s="761"/>
      <c r="F336" s="761"/>
      <c r="G336" s="761"/>
      <c r="H336" s="761" t="s">
        <v>666</v>
      </c>
      <c r="I336" s="760" t="s">
        <v>667</v>
      </c>
      <c r="J336" s="760"/>
      <c r="K336" s="760"/>
      <c r="L336" s="762" t="s">
        <v>668</v>
      </c>
      <c r="M336" s="762"/>
      <c r="N336" s="761" t="s">
        <v>43</v>
      </c>
      <c r="O336" s="761" t="s">
        <v>669</v>
      </c>
      <c r="P336" s="763" t="s">
        <v>670</v>
      </c>
      <c r="Q336" s="763" t="s">
        <v>42</v>
      </c>
      <c r="R336" s="794" t="s">
        <v>671</v>
      </c>
      <c r="S336" s="783" t="s">
        <v>44</v>
      </c>
      <c r="T336" s="798" t="s">
        <v>15</v>
      </c>
    </row>
    <row r="337" spans="1:20" s="19" customFormat="1" ht="80.25" customHeight="1" x14ac:dyDescent="0.3">
      <c r="A337" s="782"/>
      <c r="B337" s="789"/>
      <c r="C337" s="761"/>
      <c r="D337" s="407" t="s">
        <v>672</v>
      </c>
      <c r="E337" s="407" t="s">
        <v>673</v>
      </c>
      <c r="F337" s="407" t="s">
        <v>759</v>
      </c>
      <c r="G337" s="407" t="s">
        <v>17</v>
      </c>
      <c r="H337" s="761"/>
      <c r="I337" s="420" t="s">
        <v>674</v>
      </c>
      <c r="J337" s="418" t="s">
        <v>675</v>
      </c>
      <c r="K337" s="419" t="s">
        <v>676</v>
      </c>
      <c r="L337" s="419" t="s">
        <v>677</v>
      </c>
      <c r="M337" s="134" t="s">
        <v>678</v>
      </c>
      <c r="N337" s="761"/>
      <c r="O337" s="761"/>
      <c r="P337" s="763"/>
      <c r="Q337" s="763"/>
      <c r="R337" s="795"/>
      <c r="S337" s="784"/>
      <c r="T337" s="799"/>
    </row>
    <row r="338" spans="1:20" s="19" customFormat="1" ht="120" customHeight="1" x14ac:dyDescent="0.3">
      <c r="A338" s="226" t="s">
        <v>19</v>
      </c>
      <c r="B338" s="347" t="s">
        <v>679</v>
      </c>
      <c r="C338" s="228" t="s">
        <v>781</v>
      </c>
      <c r="D338" s="418" t="s">
        <v>573</v>
      </c>
      <c r="E338" s="418" t="s">
        <v>757</v>
      </c>
      <c r="F338" s="419">
        <v>69.7</v>
      </c>
      <c r="G338" s="420" t="s">
        <v>681</v>
      </c>
      <c r="H338" s="420" t="s">
        <v>782</v>
      </c>
      <c r="I338" s="420">
        <v>69.7</v>
      </c>
      <c r="J338" s="419">
        <v>0</v>
      </c>
      <c r="K338" s="419">
        <f>I338+J338</f>
        <v>69.7</v>
      </c>
      <c r="L338" s="419">
        <v>0</v>
      </c>
      <c r="M338" s="134"/>
      <c r="N338" s="260">
        <v>1</v>
      </c>
      <c r="O338" s="423">
        <v>1</v>
      </c>
      <c r="P338" s="231">
        <v>823000</v>
      </c>
      <c r="Q338" s="231">
        <f>+ROUND((P338*N338*K338),-3)</f>
        <v>57363000</v>
      </c>
      <c r="R338" s="354">
        <f>-ROUND((38000*J338*0.5%),-3)</f>
        <v>0</v>
      </c>
      <c r="S338" s="408">
        <f>+Q338+R338</f>
        <v>57363000</v>
      </c>
      <c r="T338" s="227" t="s">
        <v>833</v>
      </c>
    </row>
    <row r="339" spans="1:20" s="19" customFormat="1" ht="19.5" x14ac:dyDescent="0.3">
      <c r="A339" s="272" t="s">
        <v>28</v>
      </c>
      <c r="B339" s="273" t="s">
        <v>141</v>
      </c>
      <c r="C339" s="233"/>
      <c r="D339" s="233"/>
      <c r="E339" s="233"/>
      <c r="F339" s="233"/>
      <c r="G339" s="233"/>
      <c r="H339" s="233"/>
      <c r="I339" s="234"/>
      <c r="J339" s="233"/>
      <c r="K339" s="235"/>
      <c r="L339" s="235"/>
      <c r="M339" s="233"/>
      <c r="N339" s="235"/>
      <c r="O339" s="233"/>
      <c r="P339" s="236"/>
      <c r="Q339" s="237"/>
      <c r="R339" s="237"/>
      <c r="S339" s="441">
        <f>S345</f>
        <v>1578000</v>
      </c>
      <c r="T339" s="233"/>
    </row>
    <row r="340" spans="1:20" s="19" customFormat="1" ht="62.25" customHeight="1" x14ac:dyDescent="0.3">
      <c r="A340" s="800" t="s">
        <v>5</v>
      </c>
      <c r="B340" s="802" t="s">
        <v>30</v>
      </c>
      <c r="C340" s="802" t="s">
        <v>31</v>
      </c>
      <c r="D340" s="802" t="s">
        <v>32</v>
      </c>
      <c r="E340" s="803" t="s">
        <v>33</v>
      </c>
      <c r="F340" s="758"/>
      <c r="G340" s="802" t="s">
        <v>34</v>
      </c>
      <c r="H340" s="802" t="s">
        <v>35</v>
      </c>
      <c r="I340" s="804" t="s">
        <v>36</v>
      </c>
      <c r="J340" s="758"/>
      <c r="K340" s="769" t="s">
        <v>37</v>
      </c>
      <c r="L340" s="769" t="s">
        <v>38</v>
      </c>
      <c r="M340" s="805" t="s">
        <v>39</v>
      </c>
      <c r="N340" s="802" t="s">
        <v>839</v>
      </c>
      <c r="O340" s="802" t="s">
        <v>967</v>
      </c>
      <c r="P340" s="806" t="s">
        <v>41</v>
      </c>
      <c r="Q340" s="806" t="s">
        <v>42</v>
      </c>
      <c r="R340" s="802" t="s">
        <v>43</v>
      </c>
      <c r="S340" s="802" t="s">
        <v>44</v>
      </c>
      <c r="T340" s="807" t="s">
        <v>15</v>
      </c>
    </row>
    <row r="341" spans="1:20" s="19" customFormat="1" ht="73.5" customHeight="1" x14ac:dyDescent="0.3">
      <c r="A341" s="801"/>
      <c r="B341" s="766"/>
      <c r="C341" s="766"/>
      <c r="D341" s="766"/>
      <c r="E341" s="167" t="s">
        <v>45</v>
      </c>
      <c r="F341" s="167" t="s">
        <v>46</v>
      </c>
      <c r="G341" s="766"/>
      <c r="H341" s="766"/>
      <c r="I341" s="140" t="s">
        <v>47</v>
      </c>
      <c r="J341" s="143" t="s">
        <v>48</v>
      </c>
      <c r="K341" s="766"/>
      <c r="L341" s="766"/>
      <c r="M341" s="766"/>
      <c r="N341" s="766"/>
      <c r="O341" s="766"/>
      <c r="P341" s="766"/>
      <c r="Q341" s="766"/>
      <c r="R341" s="766"/>
      <c r="S341" s="766"/>
      <c r="T341" s="808"/>
    </row>
    <row r="342" spans="1:20" s="19" customFormat="1" ht="42" customHeight="1" x14ac:dyDescent="0.3">
      <c r="A342" s="136" t="s">
        <v>19</v>
      </c>
      <c r="B342" s="137" t="s">
        <v>330</v>
      </c>
      <c r="C342" s="138" t="s">
        <v>980</v>
      </c>
      <c r="D342" s="52"/>
      <c r="E342" s="138" t="s">
        <v>27</v>
      </c>
      <c r="F342" s="139" t="s">
        <v>52</v>
      </c>
      <c r="G342" s="138" t="s">
        <v>146</v>
      </c>
      <c r="H342" s="138" t="s">
        <v>21</v>
      </c>
      <c r="I342" s="140" t="s">
        <v>331</v>
      </c>
      <c r="J342" s="141"/>
      <c r="K342" s="142">
        <v>1</v>
      </c>
      <c r="L342" s="142">
        <f>K342</f>
        <v>1</v>
      </c>
      <c r="M342" s="52" t="s">
        <v>54</v>
      </c>
      <c r="N342" s="143">
        <f>10000/500</f>
        <v>20</v>
      </c>
      <c r="O342" s="143">
        <f>N342*L342</f>
        <v>20</v>
      </c>
      <c r="P342" s="144">
        <v>31000</v>
      </c>
      <c r="Q342" s="144">
        <f>+ROUND((L342*P342),-3)</f>
        <v>31000</v>
      </c>
      <c r="R342" s="145">
        <v>1</v>
      </c>
      <c r="S342" s="144">
        <f>+Q342*R342</f>
        <v>31000</v>
      </c>
      <c r="T342" s="52" t="s">
        <v>148</v>
      </c>
    </row>
    <row r="343" spans="1:20" s="19" customFormat="1" ht="42" customHeight="1" x14ac:dyDescent="0.3">
      <c r="A343" s="136" t="s">
        <v>98</v>
      </c>
      <c r="B343" s="137" t="s">
        <v>332</v>
      </c>
      <c r="C343" s="138" t="s">
        <v>247</v>
      </c>
      <c r="D343" s="52" t="s">
        <v>51</v>
      </c>
      <c r="E343" s="138" t="s">
        <v>27</v>
      </c>
      <c r="F343" s="139" t="s">
        <v>150</v>
      </c>
      <c r="G343" s="138" t="s">
        <v>146</v>
      </c>
      <c r="H343" s="138" t="s">
        <v>21</v>
      </c>
      <c r="I343" s="140" t="s">
        <v>243</v>
      </c>
      <c r="J343" s="141">
        <f>2026+1-I343-3</f>
        <v>14</v>
      </c>
      <c r="K343" s="142">
        <v>1</v>
      </c>
      <c r="L343" s="142">
        <f>K343</f>
        <v>1</v>
      </c>
      <c r="M343" s="52" t="s">
        <v>54</v>
      </c>
      <c r="N343" s="143">
        <f>10000/550</f>
        <v>18.181818181818183</v>
      </c>
      <c r="O343" s="143">
        <f t="shared" ref="O343:O344" si="48">N343*L343</f>
        <v>18.181818181818183</v>
      </c>
      <c r="P343" s="144">
        <v>642600</v>
      </c>
      <c r="Q343" s="144">
        <f>+ROUND((L343*P343),-3)</f>
        <v>643000</v>
      </c>
      <c r="R343" s="145">
        <v>1</v>
      </c>
      <c r="S343" s="144">
        <f>+Q343*R343</f>
        <v>643000</v>
      </c>
      <c r="T343" s="52" t="s">
        <v>1043</v>
      </c>
    </row>
    <row r="344" spans="1:20" s="19" customFormat="1" ht="42" customHeight="1" x14ac:dyDescent="0.3">
      <c r="A344" s="136" t="s">
        <v>104</v>
      </c>
      <c r="B344" s="137" t="s">
        <v>144</v>
      </c>
      <c r="C344" s="138" t="s">
        <v>334</v>
      </c>
      <c r="D344" s="52"/>
      <c r="E344" s="138" t="s">
        <v>27</v>
      </c>
      <c r="F344" s="139" t="s">
        <v>152</v>
      </c>
      <c r="G344" s="138" t="s">
        <v>146</v>
      </c>
      <c r="H344" s="138" t="s">
        <v>21</v>
      </c>
      <c r="I344" s="140" t="s">
        <v>200</v>
      </c>
      <c r="J344" s="141"/>
      <c r="K344" s="142">
        <v>2</v>
      </c>
      <c r="L344" s="142">
        <f>K344</f>
        <v>2</v>
      </c>
      <c r="M344" s="52" t="s">
        <v>54</v>
      </c>
      <c r="N344" s="143">
        <f>10000/1500</f>
        <v>6.666666666666667</v>
      </c>
      <c r="O344" s="143">
        <f t="shared" si="48"/>
        <v>13.333333333333334</v>
      </c>
      <c r="P344" s="144">
        <v>452000</v>
      </c>
      <c r="Q344" s="144">
        <f>+ROUND((L344*P344),-3)</f>
        <v>904000</v>
      </c>
      <c r="R344" s="145">
        <v>1</v>
      </c>
      <c r="S344" s="144">
        <f>+Q344*R344</f>
        <v>904000</v>
      </c>
      <c r="T344" s="52" t="s">
        <v>333</v>
      </c>
    </row>
    <row r="345" spans="1:20" s="19" customFormat="1" ht="29.25" customHeight="1" x14ac:dyDescent="0.3">
      <c r="A345" s="239"/>
      <c r="B345" s="166" t="s">
        <v>55</v>
      </c>
      <c r="C345" s="166"/>
      <c r="D345" s="240"/>
      <c r="E345" s="159"/>
      <c r="F345" s="167"/>
      <c r="G345" s="167"/>
      <c r="H345" s="167"/>
      <c r="I345" s="168"/>
      <c r="J345" s="167"/>
      <c r="K345" s="167"/>
      <c r="L345" s="167"/>
      <c r="M345" s="167"/>
      <c r="N345" s="167">
        <f>SUM(N342:N344)</f>
        <v>44.848484848484851</v>
      </c>
      <c r="O345" s="167"/>
      <c r="P345" s="167"/>
      <c r="Q345" s="167"/>
      <c r="R345" s="45"/>
      <c r="S345" s="45">
        <f>SUM(S342:S344)</f>
        <v>1578000</v>
      </c>
      <c r="T345" s="185"/>
    </row>
    <row r="346" spans="1:20" s="19" customFormat="1" ht="35.25" customHeight="1" x14ac:dyDescent="0.3">
      <c r="A346" s="272" t="s">
        <v>56</v>
      </c>
      <c r="B346" s="273" t="s">
        <v>201</v>
      </c>
      <c r="C346" s="233"/>
      <c r="D346" s="233"/>
      <c r="E346" s="233"/>
      <c r="F346" s="233"/>
      <c r="G346" s="233"/>
      <c r="H346" s="233"/>
      <c r="I346" s="234"/>
      <c r="J346" s="233"/>
      <c r="K346" s="235"/>
      <c r="L346" s="235"/>
      <c r="M346" s="233"/>
      <c r="N346" s="235"/>
      <c r="O346" s="233"/>
      <c r="P346" s="236"/>
      <c r="Q346" s="233"/>
      <c r="R346" s="233"/>
      <c r="S346" s="237">
        <f>S371</f>
        <v>60230000</v>
      </c>
      <c r="T346" s="233"/>
    </row>
    <row r="347" spans="1:20" s="19" customFormat="1" ht="18.75" customHeight="1" x14ac:dyDescent="0.3">
      <c r="A347" s="765"/>
      <c r="B347" s="767" t="s">
        <v>51</v>
      </c>
      <c r="C347" s="767" t="s">
        <v>58</v>
      </c>
      <c r="D347" s="768" t="s">
        <v>59</v>
      </c>
      <c r="E347" s="769" t="s">
        <v>60</v>
      </c>
      <c r="F347" s="769" t="s">
        <v>61</v>
      </c>
      <c r="G347" s="769" t="s">
        <v>62</v>
      </c>
      <c r="H347" s="769" t="s">
        <v>63</v>
      </c>
      <c r="I347" s="770" t="s">
        <v>64</v>
      </c>
      <c r="J347" s="757"/>
      <c r="K347" s="757"/>
      <c r="L347" s="757"/>
      <c r="M347" s="758"/>
      <c r="N347" s="771" t="s">
        <v>3</v>
      </c>
      <c r="O347" s="771" t="s">
        <v>65</v>
      </c>
      <c r="P347" s="771" t="s">
        <v>66</v>
      </c>
      <c r="Q347" s="771" t="s">
        <v>67</v>
      </c>
      <c r="R347" s="767" t="s">
        <v>68</v>
      </c>
      <c r="S347" s="767" t="s">
        <v>69</v>
      </c>
      <c r="T347" s="767" t="s">
        <v>70</v>
      </c>
    </row>
    <row r="348" spans="1:20" s="19" customFormat="1" ht="18.75" customHeight="1" x14ac:dyDescent="0.3">
      <c r="A348" s="766"/>
      <c r="B348" s="766"/>
      <c r="C348" s="766"/>
      <c r="D348" s="766"/>
      <c r="E348" s="766"/>
      <c r="F348" s="766"/>
      <c r="G348" s="766"/>
      <c r="H348" s="766"/>
      <c r="I348" s="168" t="s">
        <v>71</v>
      </c>
      <c r="J348" s="159" t="s">
        <v>72</v>
      </c>
      <c r="K348" s="159" t="s">
        <v>73</v>
      </c>
      <c r="L348" s="45" t="s">
        <v>74</v>
      </c>
      <c r="M348" s="204" t="s">
        <v>75</v>
      </c>
      <c r="N348" s="766"/>
      <c r="O348" s="766"/>
      <c r="P348" s="766"/>
      <c r="Q348" s="766"/>
      <c r="R348" s="766"/>
      <c r="S348" s="766"/>
      <c r="T348" s="766"/>
    </row>
    <row r="349" spans="1:20" s="19" customFormat="1" ht="92.25" customHeight="1" x14ac:dyDescent="0.3">
      <c r="A349" s="196" t="s">
        <v>5</v>
      </c>
      <c r="B349" s="49" t="s">
        <v>76</v>
      </c>
      <c r="C349" s="49" t="s">
        <v>77</v>
      </c>
      <c r="D349" s="49" t="s">
        <v>78</v>
      </c>
      <c r="E349" s="159" t="s">
        <v>79</v>
      </c>
      <c r="F349" s="159" t="s">
        <v>80</v>
      </c>
      <c r="G349" s="159" t="s">
        <v>81</v>
      </c>
      <c r="H349" s="45" t="s">
        <v>82</v>
      </c>
      <c r="I349" s="168" t="s">
        <v>83</v>
      </c>
      <c r="J349" s="242" t="s">
        <v>84</v>
      </c>
      <c r="K349" s="242" t="s">
        <v>85</v>
      </c>
      <c r="L349" s="49" t="s">
        <v>86</v>
      </c>
      <c r="M349" s="204" t="s">
        <v>87</v>
      </c>
      <c r="N349" s="159" t="s">
        <v>88</v>
      </c>
      <c r="O349" s="159" t="s">
        <v>89</v>
      </c>
      <c r="P349" s="159" t="s">
        <v>90</v>
      </c>
      <c r="Q349" s="159" t="s">
        <v>91</v>
      </c>
      <c r="R349" s="159" t="s">
        <v>92</v>
      </c>
      <c r="S349" s="159" t="s">
        <v>964</v>
      </c>
      <c r="T349" s="159" t="s">
        <v>15</v>
      </c>
    </row>
    <row r="350" spans="1:20" ht="131.25" customHeight="1" x14ac:dyDescent="0.3">
      <c r="A350" s="620">
        <v>1</v>
      </c>
      <c r="B350" s="498" t="s">
        <v>93</v>
      </c>
      <c r="C350" s="498" t="s">
        <v>1044</v>
      </c>
      <c r="D350" s="499" t="s">
        <v>1021</v>
      </c>
      <c r="E350" s="502" t="s">
        <v>335</v>
      </c>
      <c r="F350" s="458"/>
      <c r="G350" s="457">
        <v>11</v>
      </c>
      <c r="H350" s="460" t="s">
        <v>95</v>
      </c>
      <c r="I350" s="501">
        <f>2.2*3.7</f>
        <v>8.14</v>
      </c>
      <c r="J350" s="461" t="s">
        <v>96</v>
      </c>
      <c r="K350" s="460">
        <f t="shared" ref="K350:K370" si="49">+I350-J350</f>
        <v>8.14</v>
      </c>
      <c r="L350" s="462">
        <v>0.99199999999999999</v>
      </c>
      <c r="M350" s="463">
        <v>1487000</v>
      </c>
      <c r="N350" s="464">
        <v>0.6</v>
      </c>
      <c r="O350" s="463">
        <f>M350*80%</f>
        <v>1189600</v>
      </c>
      <c r="P350" s="459">
        <f t="shared" ref="P350:P370" si="50">+ROUND((K350*L350*O350*N350),-3)</f>
        <v>5764000</v>
      </c>
      <c r="Q350" s="463" t="s">
        <v>97</v>
      </c>
      <c r="R350" s="463" t="s">
        <v>97</v>
      </c>
      <c r="S350" s="459">
        <f t="shared" ref="S350:S370" si="51">P350</f>
        <v>5764000</v>
      </c>
      <c r="T350" s="460" t="s">
        <v>1009</v>
      </c>
    </row>
    <row r="351" spans="1:20" ht="131.25" customHeight="1" x14ac:dyDescent="0.3">
      <c r="A351" s="621" t="s">
        <v>101</v>
      </c>
      <c r="B351" s="498" t="s">
        <v>102</v>
      </c>
      <c r="C351" s="498" t="s">
        <v>1045</v>
      </c>
      <c r="D351" s="499" t="s">
        <v>1021</v>
      </c>
      <c r="E351" s="502" t="s">
        <v>335</v>
      </c>
      <c r="F351" s="458"/>
      <c r="G351" s="457">
        <v>11</v>
      </c>
      <c r="H351" s="460" t="s">
        <v>95</v>
      </c>
      <c r="I351" s="501">
        <f>0.3*0.7*2.2</f>
        <v>0.46200000000000002</v>
      </c>
      <c r="J351" s="461" t="s">
        <v>96</v>
      </c>
      <c r="K351" s="460">
        <f t="shared" si="49"/>
        <v>0.46200000000000002</v>
      </c>
      <c r="L351" s="462">
        <v>0.99199999999999999</v>
      </c>
      <c r="M351" s="463">
        <v>1961000</v>
      </c>
      <c r="N351" s="464">
        <v>0.6</v>
      </c>
      <c r="O351" s="463">
        <f>M351</f>
        <v>1961000</v>
      </c>
      <c r="P351" s="459">
        <f t="shared" si="50"/>
        <v>539000</v>
      </c>
      <c r="Q351" s="463" t="s">
        <v>97</v>
      </c>
      <c r="R351" s="463" t="s">
        <v>97</v>
      </c>
      <c r="S351" s="459">
        <f t="shared" si="51"/>
        <v>539000</v>
      </c>
      <c r="T351" s="460" t="s">
        <v>1034</v>
      </c>
    </row>
    <row r="352" spans="1:20" ht="75.75" customHeight="1" x14ac:dyDescent="0.3">
      <c r="A352" s="620">
        <v>2</v>
      </c>
      <c r="B352" s="498" t="s">
        <v>126</v>
      </c>
      <c r="C352" s="498" t="s">
        <v>336</v>
      </c>
      <c r="D352" s="502" t="s">
        <v>1037</v>
      </c>
      <c r="E352" s="502" t="s">
        <v>335</v>
      </c>
      <c r="F352" s="458"/>
      <c r="G352" s="457">
        <v>13</v>
      </c>
      <c r="H352" s="460" t="s">
        <v>95</v>
      </c>
      <c r="I352" s="501">
        <f>0.7*2.5*3.4</f>
        <v>5.95</v>
      </c>
      <c r="J352" s="461" t="s">
        <v>96</v>
      </c>
      <c r="K352" s="460">
        <f t="shared" si="49"/>
        <v>5.95</v>
      </c>
      <c r="L352" s="462">
        <v>0.99199999999999999</v>
      </c>
      <c r="M352" s="463">
        <v>2360000</v>
      </c>
      <c r="N352" s="464">
        <v>0.6</v>
      </c>
      <c r="O352" s="463">
        <f>+M352</f>
        <v>2360000</v>
      </c>
      <c r="P352" s="459">
        <f>+ROUND((K352*L352*O352*N352),-3)</f>
        <v>8358000</v>
      </c>
      <c r="Q352" s="463" t="s">
        <v>97</v>
      </c>
      <c r="R352" s="463" t="s">
        <v>97</v>
      </c>
      <c r="S352" s="459">
        <f>P352</f>
        <v>8358000</v>
      </c>
      <c r="T352" s="460" t="s">
        <v>288</v>
      </c>
    </row>
    <row r="353" spans="1:20" ht="60" customHeight="1" x14ac:dyDescent="0.3">
      <c r="A353" s="620">
        <v>3</v>
      </c>
      <c r="B353" s="498" t="s">
        <v>99</v>
      </c>
      <c r="C353" s="498" t="s">
        <v>337</v>
      </c>
      <c r="D353" s="502" t="s">
        <v>1037</v>
      </c>
      <c r="E353" s="502" t="s">
        <v>335</v>
      </c>
      <c r="F353" s="458"/>
      <c r="G353" s="457">
        <v>14</v>
      </c>
      <c r="H353" s="460" t="s">
        <v>95</v>
      </c>
      <c r="I353" s="501">
        <v>0.76800000000000013</v>
      </c>
      <c r="J353" s="461" t="s">
        <v>96</v>
      </c>
      <c r="K353" s="460">
        <f t="shared" si="49"/>
        <v>0.76800000000000013</v>
      </c>
      <c r="L353" s="462">
        <v>0.99199999999999999</v>
      </c>
      <c r="M353" s="463">
        <v>2556000</v>
      </c>
      <c r="N353" s="464">
        <v>0.6</v>
      </c>
      <c r="O353" s="463">
        <f>+M353</f>
        <v>2556000</v>
      </c>
      <c r="P353" s="459">
        <f t="shared" si="50"/>
        <v>1168000</v>
      </c>
      <c r="Q353" s="463" t="s">
        <v>97</v>
      </c>
      <c r="R353" s="463" t="s">
        <v>97</v>
      </c>
      <c r="S353" s="459">
        <f t="shared" si="51"/>
        <v>1168000</v>
      </c>
      <c r="T353" s="460" t="s">
        <v>169</v>
      </c>
    </row>
    <row r="354" spans="1:20" ht="58.5" customHeight="1" x14ac:dyDescent="0.3">
      <c r="A354" s="620" t="s">
        <v>101</v>
      </c>
      <c r="B354" s="498" t="s">
        <v>121</v>
      </c>
      <c r="C354" s="498" t="s">
        <v>338</v>
      </c>
      <c r="D354" s="499" t="s">
        <v>1021</v>
      </c>
      <c r="E354" s="502" t="s">
        <v>335</v>
      </c>
      <c r="F354" s="458"/>
      <c r="G354" s="457">
        <v>15</v>
      </c>
      <c r="H354" s="460" t="s">
        <v>95</v>
      </c>
      <c r="I354" s="501">
        <f>2.4*0.4*3*2</f>
        <v>5.76</v>
      </c>
      <c r="J354" s="461" t="s">
        <v>96</v>
      </c>
      <c r="K354" s="460">
        <f t="shared" si="49"/>
        <v>5.76</v>
      </c>
      <c r="L354" s="462">
        <v>0.99199999999999999</v>
      </c>
      <c r="M354" s="463">
        <v>437000</v>
      </c>
      <c r="N354" s="464">
        <v>0.6</v>
      </c>
      <c r="O354" s="463">
        <f>+M354</f>
        <v>437000</v>
      </c>
      <c r="P354" s="459">
        <f t="shared" si="50"/>
        <v>1498000</v>
      </c>
      <c r="Q354" s="463" t="s">
        <v>97</v>
      </c>
      <c r="R354" s="463" t="s">
        <v>97</v>
      </c>
      <c r="S354" s="459">
        <f t="shared" si="51"/>
        <v>1498000</v>
      </c>
      <c r="T354" s="460" t="s">
        <v>418</v>
      </c>
    </row>
    <row r="355" spans="1:20" ht="41.25" customHeight="1" x14ac:dyDescent="0.3">
      <c r="A355" s="620">
        <v>4</v>
      </c>
      <c r="B355" s="498" t="s">
        <v>105</v>
      </c>
      <c r="C355" s="498" t="s">
        <v>339</v>
      </c>
      <c r="D355" s="499" t="s">
        <v>1021</v>
      </c>
      <c r="E355" s="502" t="s">
        <v>335</v>
      </c>
      <c r="F355" s="458"/>
      <c r="G355" s="457">
        <v>16</v>
      </c>
      <c r="H355" s="460" t="s">
        <v>95</v>
      </c>
      <c r="I355" s="501">
        <f>3.4*2.1</f>
        <v>7.14</v>
      </c>
      <c r="J355" s="461" t="s">
        <v>96</v>
      </c>
      <c r="K355" s="460">
        <f t="shared" si="49"/>
        <v>7.14</v>
      </c>
      <c r="L355" s="462">
        <v>0.99199999999999999</v>
      </c>
      <c r="M355" s="463">
        <v>835000</v>
      </c>
      <c r="N355" s="464">
        <v>0.6</v>
      </c>
      <c r="O355" s="463">
        <f>+M355</f>
        <v>835000</v>
      </c>
      <c r="P355" s="459">
        <f t="shared" si="50"/>
        <v>3549000</v>
      </c>
      <c r="Q355" s="463" t="s">
        <v>97</v>
      </c>
      <c r="R355" s="463" t="s">
        <v>97</v>
      </c>
      <c r="S355" s="459">
        <f t="shared" si="51"/>
        <v>3549000</v>
      </c>
      <c r="T355" s="460" t="s">
        <v>174</v>
      </c>
    </row>
    <row r="356" spans="1:20" ht="56.25" customHeight="1" x14ac:dyDescent="0.3">
      <c r="A356" s="620">
        <v>5</v>
      </c>
      <c r="B356" s="498" t="s">
        <v>214</v>
      </c>
      <c r="C356" s="498" t="s">
        <v>954</v>
      </c>
      <c r="D356" s="499" t="s">
        <v>1021</v>
      </c>
      <c r="E356" s="502" t="s">
        <v>335</v>
      </c>
      <c r="F356" s="458"/>
      <c r="G356" s="457">
        <v>17</v>
      </c>
      <c r="H356" s="460" t="s">
        <v>95</v>
      </c>
      <c r="I356" s="501">
        <f>(2.2*3.4)+(2.9*2.8)</f>
        <v>15.6</v>
      </c>
      <c r="J356" s="461" t="s">
        <v>96</v>
      </c>
      <c r="K356" s="460">
        <f t="shared" si="49"/>
        <v>15.6</v>
      </c>
      <c r="L356" s="462">
        <v>0.99199999999999999</v>
      </c>
      <c r="M356" s="463">
        <v>268000</v>
      </c>
      <c r="N356" s="464">
        <v>0.6</v>
      </c>
      <c r="O356" s="463">
        <f>+M356</f>
        <v>268000</v>
      </c>
      <c r="P356" s="459">
        <f t="shared" si="50"/>
        <v>2488000</v>
      </c>
      <c r="Q356" s="463" t="s">
        <v>97</v>
      </c>
      <c r="R356" s="463" t="s">
        <v>97</v>
      </c>
      <c r="S356" s="459">
        <f t="shared" si="51"/>
        <v>2488000</v>
      </c>
      <c r="T356" s="460" t="s">
        <v>166</v>
      </c>
    </row>
    <row r="357" spans="1:20" ht="60" customHeight="1" x14ac:dyDescent="0.3">
      <c r="A357" s="620">
        <v>6</v>
      </c>
      <c r="B357" s="498" t="s">
        <v>340</v>
      </c>
      <c r="C357" s="498" t="s">
        <v>341</v>
      </c>
      <c r="D357" s="499" t="s">
        <v>1046</v>
      </c>
      <c r="E357" s="502" t="s">
        <v>335</v>
      </c>
      <c r="F357" s="458"/>
      <c r="G357" s="457">
        <v>18</v>
      </c>
      <c r="H357" s="460" t="s">
        <v>95</v>
      </c>
      <c r="I357" s="501">
        <f>5.6*2.7*0.15</f>
        <v>2.2679999999999998</v>
      </c>
      <c r="J357" s="461" t="s">
        <v>96</v>
      </c>
      <c r="K357" s="460">
        <f t="shared" si="49"/>
        <v>2.2679999999999998</v>
      </c>
      <c r="L357" s="462">
        <v>0.99199999999999999</v>
      </c>
      <c r="M357" s="463">
        <f>O357</f>
        <v>6270000</v>
      </c>
      <c r="N357" s="464">
        <v>0.6</v>
      </c>
      <c r="O357" s="463">
        <v>6270000</v>
      </c>
      <c r="P357" s="459">
        <f t="shared" si="50"/>
        <v>8464000</v>
      </c>
      <c r="Q357" s="463" t="s">
        <v>97</v>
      </c>
      <c r="R357" s="463" t="s">
        <v>97</v>
      </c>
      <c r="S357" s="459">
        <f t="shared" si="51"/>
        <v>8464000</v>
      </c>
      <c r="T357" s="460" t="s">
        <v>318</v>
      </c>
    </row>
    <row r="358" spans="1:20" ht="72" customHeight="1" x14ac:dyDescent="0.3">
      <c r="A358" s="620">
        <v>7</v>
      </c>
      <c r="B358" s="498" t="s">
        <v>342</v>
      </c>
      <c r="C358" s="498" t="s">
        <v>955</v>
      </c>
      <c r="D358" s="502" t="s">
        <v>178</v>
      </c>
      <c r="E358" s="502" t="s">
        <v>335</v>
      </c>
      <c r="F358" s="458"/>
      <c r="G358" s="457">
        <v>19</v>
      </c>
      <c r="H358" s="460" t="s">
        <v>95</v>
      </c>
      <c r="I358" s="501">
        <v>11.2</v>
      </c>
      <c r="J358" s="461" t="s">
        <v>96</v>
      </c>
      <c r="K358" s="460">
        <f t="shared" si="49"/>
        <v>11.2</v>
      </c>
      <c r="L358" s="462">
        <v>0.99199999999999999</v>
      </c>
      <c r="M358" s="463">
        <f>O358</f>
        <v>1092000</v>
      </c>
      <c r="N358" s="464">
        <v>0.6</v>
      </c>
      <c r="O358" s="463">
        <v>1092000</v>
      </c>
      <c r="P358" s="459">
        <f t="shared" si="50"/>
        <v>7280000</v>
      </c>
      <c r="Q358" s="463" t="s">
        <v>97</v>
      </c>
      <c r="R358" s="463" t="s">
        <v>97</v>
      </c>
      <c r="S358" s="459">
        <f t="shared" si="51"/>
        <v>7280000</v>
      </c>
      <c r="T358" s="460" t="s">
        <v>343</v>
      </c>
    </row>
    <row r="359" spans="1:20" ht="57" customHeight="1" x14ac:dyDescent="0.3">
      <c r="A359" s="620" t="s">
        <v>101</v>
      </c>
      <c r="B359" s="498" t="s">
        <v>102</v>
      </c>
      <c r="C359" s="498" t="s">
        <v>344</v>
      </c>
      <c r="D359" s="502" t="s">
        <v>1037</v>
      </c>
      <c r="E359" s="502" t="s">
        <v>335</v>
      </c>
      <c r="F359" s="458"/>
      <c r="G359" s="457">
        <v>20</v>
      </c>
      <c r="H359" s="460" t="s">
        <v>95</v>
      </c>
      <c r="I359" s="501">
        <f>0.25*0.1*11.2</f>
        <v>0.27999999999999997</v>
      </c>
      <c r="J359" s="461" t="s">
        <v>96</v>
      </c>
      <c r="K359" s="460">
        <f t="shared" si="49"/>
        <v>0.27999999999999997</v>
      </c>
      <c r="L359" s="462">
        <v>0.99199999999999999</v>
      </c>
      <c r="M359" s="463">
        <v>579000</v>
      </c>
      <c r="N359" s="464">
        <v>0.6</v>
      </c>
      <c r="O359" s="463">
        <f>M359</f>
        <v>579000</v>
      </c>
      <c r="P359" s="459">
        <f t="shared" si="50"/>
        <v>96000</v>
      </c>
      <c r="Q359" s="463" t="s">
        <v>97</v>
      </c>
      <c r="R359" s="463" t="s">
        <v>97</v>
      </c>
      <c r="S359" s="459">
        <f t="shared" si="51"/>
        <v>96000</v>
      </c>
      <c r="T359" s="460" t="s">
        <v>351</v>
      </c>
    </row>
    <row r="360" spans="1:20" ht="138.75" customHeight="1" x14ac:dyDescent="0.3">
      <c r="A360" s="620">
        <v>8</v>
      </c>
      <c r="B360" s="498" t="s">
        <v>93</v>
      </c>
      <c r="C360" s="498" t="s">
        <v>1047</v>
      </c>
      <c r="D360" s="499" t="s">
        <v>1021</v>
      </c>
      <c r="E360" s="502" t="s">
        <v>335</v>
      </c>
      <c r="F360" s="458"/>
      <c r="G360" s="457">
        <v>21</v>
      </c>
      <c r="H360" s="460" t="s">
        <v>95</v>
      </c>
      <c r="I360" s="501">
        <f>2.1*1.9</f>
        <v>3.9899999999999998</v>
      </c>
      <c r="J360" s="461" t="s">
        <v>96</v>
      </c>
      <c r="K360" s="460">
        <f t="shared" si="49"/>
        <v>3.9899999999999998</v>
      </c>
      <c r="L360" s="462">
        <v>0.99199999999999999</v>
      </c>
      <c r="M360" s="463">
        <v>1487000</v>
      </c>
      <c r="N360" s="464">
        <v>0.6</v>
      </c>
      <c r="O360" s="463">
        <f>M360*80%*90%</f>
        <v>1070640</v>
      </c>
      <c r="P360" s="459">
        <f t="shared" si="50"/>
        <v>2543000</v>
      </c>
      <c r="Q360" s="463" t="s">
        <v>97</v>
      </c>
      <c r="R360" s="463" t="s">
        <v>97</v>
      </c>
      <c r="S360" s="459">
        <f t="shared" si="51"/>
        <v>2543000</v>
      </c>
      <c r="T360" s="460" t="s">
        <v>1009</v>
      </c>
    </row>
    <row r="361" spans="1:20" ht="138.75" customHeight="1" x14ac:dyDescent="0.3">
      <c r="A361" s="620" t="s">
        <v>101</v>
      </c>
      <c r="B361" s="498" t="s">
        <v>102</v>
      </c>
      <c r="C361" s="498" t="s">
        <v>1048</v>
      </c>
      <c r="D361" s="499" t="s">
        <v>1021</v>
      </c>
      <c r="E361" s="502" t="s">
        <v>335</v>
      </c>
      <c r="F361" s="458"/>
      <c r="G361" s="457">
        <v>21</v>
      </c>
      <c r="H361" s="460" t="s">
        <v>95</v>
      </c>
      <c r="I361" s="501">
        <f>2.1*0.3*0.3</f>
        <v>0.189</v>
      </c>
      <c r="J361" s="461" t="s">
        <v>96</v>
      </c>
      <c r="K361" s="460">
        <f t="shared" si="49"/>
        <v>0.189</v>
      </c>
      <c r="L361" s="462">
        <v>0.99199999999999999</v>
      </c>
      <c r="M361" s="463">
        <v>1961000</v>
      </c>
      <c r="N361" s="464">
        <v>0.6</v>
      </c>
      <c r="O361" s="463">
        <f>M361</f>
        <v>1961000</v>
      </c>
      <c r="P361" s="459">
        <f t="shared" si="50"/>
        <v>221000</v>
      </c>
      <c r="Q361" s="463" t="s">
        <v>97</v>
      </c>
      <c r="R361" s="463" t="s">
        <v>97</v>
      </c>
      <c r="S361" s="459">
        <f t="shared" si="51"/>
        <v>221000</v>
      </c>
      <c r="T361" s="460" t="s">
        <v>1034</v>
      </c>
    </row>
    <row r="362" spans="1:20" ht="48.75" customHeight="1" x14ac:dyDescent="0.3">
      <c r="A362" s="620">
        <v>9</v>
      </c>
      <c r="B362" s="498" t="s">
        <v>99</v>
      </c>
      <c r="C362" s="498" t="s">
        <v>345</v>
      </c>
      <c r="D362" s="502" t="s">
        <v>1037</v>
      </c>
      <c r="E362" s="502" t="s">
        <v>335</v>
      </c>
      <c r="F362" s="458"/>
      <c r="G362" s="457">
        <v>22</v>
      </c>
      <c r="H362" s="460" t="s">
        <v>95</v>
      </c>
      <c r="I362" s="501">
        <f>0.3*0.3*2</f>
        <v>0.18</v>
      </c>
      <c r="J362" s="461" t="s">
        <v>96</v>
      </c>
      <c r="K362" s="460">
        <f t="shared" si="49"/>
        <v>0.18</v>
      </c>
      <c r="L362" s="462">
        <v>0.99199999999999999</v>
      </c>
      <c r="M362" s="463">
        <v>2556000</v>
      </c>
      <c r="N362" s="464">
        <v>0.6</v>
      </c>
      <c r="O362" s="463">
        <f>+M362</f>
        <v>2556000</v>
      </c>
      <c r="P362" s="459">
        <f t="shared" si="50"/>
        <v>274000</v>
      </c>
      <c r="Q362" s="463" t="s">
        <v>97</v>
      </c>
      <c r="R362" s="463" t="s">
        <v>97</v>
      </c>
      <c r="S362" s="459">
        <f t="shared" si="51"/>
        <v>274000</v>
      </c>
      <c r="T362" s="460" t="s">
        <v>169</v>
      </c>
    </row>
    <row r="363" spans="1:20" ht="41.25" customHeight="1" x14ac:dyDescent="0.3">
      <c r="A363" s="620">
        <v>10</v>
      </c>
      <c r="B363" s="498" t="s">
        <v>105</v>
      </c>
      <c r="C363" s="498" t="s">
        <v>346</v>
      </c>
      <c r="D363" s="499" t="s">
        <v>1021</v>
      </c>
      <c r="E363" s="502" t="s">
        <v>335</v>
      </c>
      <c r="F363" s="458"/>
      <c r="G363" s="457">
        <v>23</v>
      </c>
      <c r="H363" s="460" t="s">
        <v>95</v>
      </c>
      <c r="I363" s="501">
        <v>6.12</v>
      </c>
      <c r="J363" s="461" t="s">
        <v>96</v>
      </c>
      <c r="K363" s="460">
        <f t="shared" si="49"/>
        <v>6.12</v>
      </c>
      <c r="L363" s="462">
        <v>0.99199999999999999</v>
      </c>
      <c r="M363" s="463">
        <v>835000</v>
      </c>
      <c r="N363" s="464">
        <v>0.6</v>
      </c>
      <c r="O363" s="463">
        <f>+M363</f>
        <v>835000</v>
      </c>
      <c r="P363" s="459">
        <f t="shared" si="50"/>
        <v>3042000</v>
      </c>
      <c r="Q363" s="463" t="s">
        <v>97</v>
      </c>
      <c r="R363" s="463" t="s">
        <v>97</v>
      </c>
      <c r="S363" s="459">
        <f t="shared" si="51"/>
        <v>3042000</v>
      </c>
      <c r="T363" s="460" t="s">
        <v>174</v>
      </c>
    </row>
    <row r="364" spans="1:20" ht="53.25" customHeight="1" x14ac:dyDescent="0.3">
      <c r="A364" s="620">
        <v>11</v>
      </c>
      <c r="B364" s="498" t="s">
        <v>126</v>
      </c>
      <c r="C364" s="498" t="s">
        <v>347</v>
      </c>
      <c r="D364" s="502" t="s">
        <v>1037</v>
      </c>
      <c r="E364" s="502" t="s">
        <v>335</v>
      </c>
      <c r="F364" s="458"/>
      <c r="G364" s="457">
        <v>24</v>
      </c>
      <c r="H364" s="460" t="s">
        <v>95</v>
      </c>
      <c r="I364" s="501">
        <v>2.1</v>
      </c>
      <c r="J364" s="461" t="s">
        <v>96</v>
      </c>
      <c r="K364" s="460">
        <f t="shared" si="49"/>
        <v>2.1</v>
      </c>
      <c r="L364" s="462">
        <v>0.99199999999999999</v>
      </c>
      <c r="M364" s="463">
        <v>2360000</v>
      </c>
      <c r="N364" s="464">
        <v>0.6</v>
      </c>
      <c r="O364" s="463">
        <f>+M364</f>
        <v>2360000</v>
      </c>
      <c r="P364" s="459">
        <f t="shared" si="50"/>
        <v>2950000</v>
      </c>
      <c r="Q364" s="463" t="s">
        <v>97</v>
      </c>
      <c r="R364" s="463" t="s">
        <v>97</v>
      </c>
      <c r="S364" s="459">
        <f t="shared" si="51"/>
        <v>2950000</v>
      </c>
      <c r="T364" s="460" t="s">
        <v>288</v>
      </c>
    </row>
    <row r="365" spans="1:20" ht="42.75" customHeight="1" x14ac:dyDescent="0.3">
      <c r="A365" s="620">
        <v>12</v>
      </c>
      <c r="B365" s="498" t="s">
        <v>214</v>
      </c>
      <c r="C365" s="498" t="s">
        <v>348</v>
      </c>
      <c r="D365" s="499" t="s">
        <v>1021</v>
      </c>
      <c r="E365" s="502" t="s">
        <v>335</v>
      </c>
      <c r="F365" s="458"/>
      <c r="G365" s="457">
        <v>25</v>
      </c>
      <c r="H365" s="460" t="s">
        <v>95</v>
      </c>
      <c r="I365" s="501">
        <v>13</v>
      </c>
      <c r="J365" s="461" t="s">
        <v>96</v>
      </c>
      <c r="K365" s="460">
        <f t="shared" si="49"/>
        <v>13</v>
      </c>
      <c r="L365" s="462">
        <v>0.99199999999999999</v>
      </c>
      <c r="M365" s="463">
        <v>268000</v>
      </c>
      <c r="N365" s="464">
        <v>0.6</v>
      </c>
      <c r="O365" s="463">
        <f>+M365</f>
        <v>268000</v>
      </c>
      <c r="P365" s="459">
        <f t="shared" si="50"/>
        <v>2074000</v>
      </c>
      <c r="Q365" s="463" t="s">
        <v>97</v>
      </c>
      <c r="R365" s="463" t="s">
        <v>97</v>
      </c>
      <c r="S365" s="459">
        <f t="shared" si="51"/>
        <v>2074000</v>
      </c>
      <c r="T365" s="460" t="s">
        <v>166</v>
      </c>
    </row>
    <row r="366" spans="1:20" ht="72.75" customHeight="1" x14ac:dyDescent="0.3">
      <c r="A366" s="620">
        <v>13</v>
      </c>
      <c r="B366" s="498" t="s">
        <v>349</v>
      </c>
      <c r="C366" s="498" t="s">
        <v>350</v>
      </c>
      <c r="D366" s="499" t="s">
        <v>1021</v>
      </c>
      <c r="E366" s="502" t="s">
        <v>335</v>
      </c>
      <c r="F366" s="458"/>
      <c r="G366" s="457">
        <v>26</v>
      </c>
      <c r="H366" s="460" t="s">
        <v>95</v>
      </c>
      <c r="I366" s="501">
        <v>11.76</v>
      </c>
      <c r="J366" s="461" t="s">
        <v>96</v>
      </c>
      <c r="K366" s="460">
        <f t="shared" si="49"/>
        <v>11.76</v>
      </c>
      <c r="L366" s="462">
        <v>0.99199999999999999</v>
      </c>
      <c r="M366" s="463">
        <v>579000</v>
      </c>
      <c r="N366" s="464">
        <v>0.6</v>
      </c>
      <c r="O366" s="463">
        <f>+M366</f>
        <v>579000</v>
      </c>
      <c r="P366" s="459">
        <f t="shared" si="50"/>
        <v>4053000</v>
      </c>
      <c r="Q366" s="463" t="s">
        <v>97</v>
      </c>
      <c r="R366" s="463" t="s">
        <v>97</v>
      </c>
      <c r="S366" s="459">
        <f t="shared" si="51"/>
        <v>4053000</v>
      </c>
      <c r="T366" s="460" t="s">
        <v>351</v>
      </c>
    </row>
    <row r="367" spans="1:20" ht="44.25" customHeight="1" x14ac:dyDescent="0.3">
      <c r="A367" s="620" t="s">
        <v>101</v>
      </c>
      <c r="B367" s="498" t="s">
        <v>102</v>
      </c>
      <c r="C367" s="498" t="s">
        <v>352</v>
      </c>
      <c r="D367" s="502" t="s">
        <v>1037</v>
      </c>
      <c r="E367" s="502" t="s">
        <v>335</v>
      </c>
      <c r="F367" s="458"/>
      <c r="G367" s="457">
        <v>27</v>
      </c>
      <c r="H367" s="460" t="s">
        <v>95</v>
      </c>
      <c r="I367" s="501">
        <v>1.7549999999999999</v>
      </c>
      <c r="J367" s="461" t="s">
        <v>96</v>
      </c>
      <c r="K367" s="460">
        <f t="shared" si="49"/>
        <v>1.7549999999999999</v>
      </c>
      <c r="L367" s="462">
        <v>0.99199999999999999</v>
      </c>
      <c r="M367" s="463">
        <f>O367</f>
        <v>268000</v>
      </c>
      <c r="N367" s="464">
        <v>0.6</v>
      </c>
      <c r="O367" s="463">
        <v>268000</v>
      </c>
      <c r="P367" s="459">
        <f t="shared" si="50"/>
        <v>280000</v>
      </c>
      <c r="Q367" s="463" t="s">
        <v>97</v>
      </c>
      <c r="R367" s="463" t="s">
        <v>97</v>
      </c>
      <c r="S367" s="459">
        <f t="shared" si="51"/>
        <v>280000</v>
      </c>
      <c r="T367" s="460" t="s">
        <v>353</v>
      </c>
    </row>
    <row r="368" spans="1:20" ht="30" customHeight="1" x14ac:dyDescent="0.3">
      <c r="A368" s="620">
        <v>14</v>
      </c>
      <c r="B368" s="498" t="s">
        <v>188</v>
      </c>
      <c r="C368" s="498" t="s">
        <v>354</v>
      </c>
      <c r="D368" s="502" t="s">
        <v>190</v>
      </c>
      <c r="E368" s="502" t="s">
        <v>335</v>
      </c>
      <c r="F368" s="458"/>
      <c r="G368" s="457">
        <v>28</v>
      </c>
      <c r="H368" s="460" t="s">
        <v>95</v>
      </c>
      <c r="I368" s="622">
        <v>10</v>
      </c>
      <c r="J368" s="461" t="s">
        <v>96</v>
      </c>
      <c r="K368" s="457">
        <f t="shared" si="49"/>
        <v>10</v>
      </c>
      <c r="L368" s="462">
        <v>0.99199999999999999</v>
      </c>
      <c r="M368" s="463">
        <v>638000</v>
      </c>
      <c r="N368" s="464">
        <v>0.6</v>
      </c>
      <c r="O368" s="463">
        <f>+M368</f>
        <v>638000</v>
      </c>
      <c r="P368" s="459">
        <f t="shared" si="50"/>
        <v>3797000</v>
      </c>
      <c r="Q368" s="463" t="s">
        <v>97</v>
      </c>
      <c r="R368" s="463" t="s">
        <v>97</v>
      </c>
      <c r="S368" s="459">
        <f t="shared" si="51"/>
        <v>3797000</v>
      </c>
      <c r="T368" s="460" t="s">
        <v>1049</v>
      </c>
    </row>
    <row r="369" spans="1:20" ht="54.75" customHeight="1" x14ac:dyDescent="0.3">
      <c r="A369" s="620">
        <v>15</v>
      </c>
      <c r="B369" s="498" t="s">
        <v>355</v>
      </c>
      <c r="C369" s="498" t="s">
        <v>356</v>
      </c>
      <c r="D369" s="502" t="s">
        <v>1037</v>
      </c>
      <c r="E369" s="502" t="s">
        <v>335</v>
      </c>
      <c r="F369" s="458"/>
      <c r="G369" s="457">
        <v>29</v>
      </c>
      <c r="H369" s="460" t="s">
        <v>95</v>
      </c>
      <c r="I369" s="501">
        <v>5.6519999999999994E-2</v>
      </c>
      <c r="J369" s="461" t="s">
        <v>96</v>
      </c>
      <c r="K369" s="460">
        <f t="shared" si="49"/>
        <v>5.6519999999999994E-2</v>
      </c>
      <c r="L369" s="462">
        <v>0.99199999999999999</v>
      </c>
      <c r="M369" s="463">
        <f>O369</f>
        <v>6270000</v>
      </c>
      <c r="N369" s="464">
        <v>0.6</v>
      </c>
      <c r="O369" s="463">
        <v>6270000</v>
      </c>
      <c r="P369" s="459">
        <f t="shared" si="50"/>
        <v>211000</v>
      </c>
      <c r="Q369" s="463" t="s">
        <v>97</v>
      </c>
      <c r="R369" s="463" t="s">
        <v>97</v>
      </c>
      <c r="S369" s="459">
        <f t="shared" si="51"/>
        <v>211000</v>
      </c>
      <c r="T369" s="460" t="s">
        <v>357</v>
      </c>
    </row>
    <row r="370" spans="1:20" ht="48.75" customHeight="1" x14ac:dyDescent="0.3">
      <c r="A370" s="620">
        <v>16</v>
      </c>
      <c r="B370" s="498" t="s">
        <v>120</v>
      </c>
      <c r="C370" s="498" t="s">
        <v>358</v>
      </c>
      <c r="D370" s="499" t="s">
        <v>1021</v>
      </c>
      <c r="E370" s="502" t="s">
        <v>335</v>
      </c>
      <c r="F370" s="458"/>
      <c r="G370" s="457">
        <v>30</v>
      </c>
      <c r="H370" s="460" t="s">
        <v>95</v>
      </c>
      <c r="I370" s="501">
        <v>8.1</v>
      </c>
      <c r="J370" s="461" t="s">
        <v>96</v>
      </c>
      <c r="K370" s="460">
        <f t="shared" si="49"/>
        <v>8.1</v>
      </c>
      <c r="L370" s="462">
        <v>0.99199999999999999</v>
      </c>
      <c r="M370" s="463">
        <v>328000</v>
      </c>
      <c r="N370" s="464">
        <v>0.6</v>
      </c>
      <c r="O370" s="463">
        <f>+M370</f>
        <v>328000</v>
      </c>
      <c r="P370" s="459">
        <f t="shared" si="50"/>
        <v>1581000</v>
      </c>
      <c r="Q370" s="463" t="s">
        <v>97</v>
      </c>
      <c r="R370" s="463" t="s">
        <v>97</v>
      </c>
      <c r="S370" s="459">
        <f t="shared" si="51"/>
        <v>1581000</v>
      </c>
      <c r="T370" s="460" t="s">
        <v>1050</v>
      </c>
    </row>
    <row r="371" spans="1:20" ht="39" customHeight="1" x14ac:dyDescent="0.3">
      <c r="A371" s="453"/>
      <c r="B371" s="623" t="s">
        <v>55</v>
      </c>
      <c r="C371" s="623"/>
      <c r="D371" s="458"/>
      <c r="E371" s="458"/>
      <c r="F371" s="624"/>
      <c r="G371" s="624"/>
      <c r="H371" s="624"/>
      <c r="I371" s="492"/>
      <c r="J371" s="624"/>
      <c r="K371" s="624"/>
      <c r="L371" s="624"/>
      <c r="M371" s="624"/>
      <c r="N371" s="624"/>
      <c r="O371" s="624"/>
      <c r="P371" s="624"/>
      <c r="Q371" s="624"/>
      <c r="R371" s="624"/>
      <c r="S371" s="459">
        <f>SUM(S350:S370)</f>
        <v>60230000</v>
      </c>
      <c r="T371" s="624"/>
    </row>
    <row r="372" spans="1:20" s="19" customFormat="1" ht="39" customHeight="1" x14ac:dyDescent="0.3">
      <c r="A372" s="171" t="s">
        <v>131</v>
      </c>
      <c r="B372" s="172" t="s">
        <v>132</v>
      </c>
      <c r="C372" s="173"/>
      <c r="D372" s="466"/>
      <c r="E372" s="466"/>
      <c r="F372" s="466"/>
      <c r="G372" s="466"/>
      <c r="H372" s="466"/>
      <c r="I372" s="467"/>
      <c r="J372" s="466"/>
      <c r="K372" s="468"/>
      <c r="L372" s="468"/>
      <c r="M372" s="466"/>
      <c r="N372" s="468"/>
      <c r="O372" s="466"/>
      <c r="P372" s="469"/>
      <c r="Q372" s="466"/>
      <c r="R372" s="466"/>
      <c r="S372" s="470"/>
      <c r="T372" s="466"/>
    </row>
    <row r="373" spans="1:20" s="19" customFormat="1" ht="39" customHeight="1" x14ac:dyDescent="0.3">
      <c r="A373" s="171" t="s">
        <v>133</v>
      </c>
      <c r="B373" s="756" t="s">
        <v>134</v>
      </c>
      <c r="C373" s="757"/>
      <c r="D373" s="757"/>
      <c r="E373" s="757"/>
      <c r="F373" s="757"/>
      <c r="G373" s="757"/>
      <c r="H373" s="757"/>
      <c r="I373" s="757"/>
      <c r="J373" s="757"/>
      <c r="K373" s="757"/>
      <c r="L373" s="757"/>
      <c r="M373" s="757"/>
      <c r="N373" s="757"/>
      <c r="O373" s="757"/>
      <c r="P373" s="757"/>
      <c r="Q373" s="757"/>
      <c r="R373" s="757"/>
      <c r="S373" s="757"/>
      <c r="T373" s="758"/>
    </row>
    <row r="374" spans="1:20" s="19" customFormat="1" ht="39" customHeight="1" x14ac:dyDescent="0.3">
      <c r="A374" s="178" t="s">
        <v>135</v>
      </c>
      <c r="B374" s="756" t="s">
        <v>359</v>
      </c>
      <c r="C374" s="757"/>
      <c r="D374" s="757"/>
      <c r="E374" s="757"/>
      <c r="F374" s="757"/>
      <c r="G374" s="757"/>
      <c r="H374" s="757"/>
      <c r="I374" s="757"/>
      <c r="J374" s="757"/>
      <c r="K374" s="757"/>
      <c r="L374" s="757"/>
      <c r="M374" s="757"/>
      <c r="N374" s="757"/>
      <c r="O374" s="757"/>
      <c r="P374" s="757"/>
      <c r="Q374" s="757"/>
      <c r="R374" s="758"/>
      <c r="S374" s="29">
        <f>S371+S345</f>
        <v>61808000</v>
      </c>
      <c r="T374" s="174" t="s">
        <v>137</v>
      </c>
    </row>
    <row r="375" spans="1:20" ht="28.5" customHeight="1" x14ac:dyDescent="0.3">
      <c r="A375" s="474"/>
      <c r="B375" s="829" t="s">
        <v>360</v>
      </c>
      <c r="C375" s="773"/>
      <c r="D375" s="773"/>
      <c r="E375" s="773"/>
      <c r="F375" s="773"/>
      <c r="G375" s="773"/>
      <c r="H375" s="773"/>
      <c r="I375" s="773"/>
      <c r="J375" s="773"/>
      <c r="K375" s="773"/>
      <c r="L375" s="773"/>
      <c r="M375" s="773"/>
      <c r="N375" s="773"/>
      <c r="O375" s="773"/>
      <c r="P375" s="773"/>
      <c r="Q375" s="773"/>
      <c r="R375" s="773"/>
      <c r="S375" s="773"/>
      <c r="T375" s="474"/>
    </row>
    <row r="376" spans="1:20" ht="18.75" customHeight="1" x14ac:dyDescent="0.3">
      <c r="A376" s="474"/>
      <c r="B376" s="772" t="s">
        <v>1</v>
      </c>
      <c r="C376" s="773"/>
      <c r="D376" s="773"/>
      <c r="E376" s="773"/>
      <c r="F376" s="773"/>
      <c r="G376" s="773"/>
      <c r="H376" s="773"/>
      <c r="I376" s="773"/>
      <c r="J376" s="773"/>
      <c r="K376" s="773"/>
      <c r="L376" s="773"/>
      <c r="M376" s="773"/>
      <c r="N376" s="773"/>
      <c r="O376" s="773"/>
      <c r="P376" s="773"/>
      <c r="Q376" s="773"/>
      <c r="R376" s="773"/>
      <c r="S376" s="773"/>
      <c r="T376" s="474"/>
    </row>
    <row r="377" spans="1:20" ht="18.75" customHeight="1" x14ac:dyDescent="0.3">
      <c r="A377" s="474"/>
      <c r="B377" s="772" t="s">
        <v>2</v>
      </c>
      <c r="C377" s="773"/>
      <c r="D377" s="773"/>
      <c r="E377" s="773"/>
      <c r="F377" s="773"/>
      <c r="G377" s="773"/>
      <c r="H377" s="773"/>
      <c r="I377" s="773"/>
      <c r="J377" s="773"/>
      <c r="K377" s="773"/>
      <c r="L377" s="773"/>
      <c r="M377" s="773"/>
      <c r="N377" s="773"/>
      <c r="O377" s="773"/>
      <c r="P377" s="773"/>
      <c r="Q377" s="773"/>
      <c r="R377" s="773"/>
      <c r="S377" s="773"/>
      <c r="T377" s="474"/>
    </row>
    <row r="378" spans="1:20" ht="18.75" customHeight="1" x14ac:dyDescent="0.3">
      <c r="A378" s="475"/>
      <c r="B378" s="809" t="str">
        <f>B329</f>
        <v>(Kèm theo Quyết định số     /QĐ-UBND ngày     tháng     năm 2026 của Ủy ban nhân dân xã Thuận An)</v>
      </c>
      <c r="C378" s="773"/>
      <c r="D378" s="773"/>
      <c r="E378" s="773"/>
      <c r="F378" s="773"/>
      <c r="G378" s="773"/>
      <c r="H378" s="773"/>
      <c r="I378" s="773"/>
      <c r="J378" s="773"/>
      <c r="K378" s="773"/>
      <c r="L378" s="773"/>
      <c r="M378" s="773"/>
      <c r="N378" s="773"/>
      <c r="O378" s="773"/>
      <c r="P378" s="773"/>
      <c r="Q378" s="773"/>
      <c r="R378" s="773"/>
      <c r="S378" s="773"/>
      <c r="T378" s="475"/>
    </row>
    <row r="379" spans="1:20" s="19" customFormat="1" ht="18.75" customHeight="1" thickBot="1" x14ac:dyDescent="0.35">
      <c r="A379" s="272" t="s">
        <v>3</v>
      </c>
      <c r="B379" s="273" t="s">
        <v>4</v>
      </c>
      <c r="C379" s="233"/>
      <c r="D379" s="233"/>
      <c r="E379" s="233"/>
      <c r="F379" s="233"/>
      <c r="G379" s="233"/>
      <c r="H379" s="233"/>
      <c r="I379" s="234"/>
      <c r="J379" s="233"/>
      <c r="K379" s="235"/>
      <c r="L379" s="235"/>
      <c r="M379" s="233"/>
      <c r="N379" s="235"/>
      <c r="O379" s="233"/>
      <c r="P379" s="236"/>
      <c r="Q379" s="233"/>
      <c r="R379" s="233"/>
      <c r="S379" s="237"/>
      <c r="T379" s="233"/>
    </row>
    <row r="380" spans="1:20" s="19" customFormat="1" ht="36.75" customHeight="1" x14ac:dyDescent="0.3">
      <c r="A380" s="810" t="s">
        <v>5</v>
      </c>
      <c r="B380" s="814" t="s">
        <v>6</v>
      </c>
      <c r="C380" s="778" t="s">
        <v>7</v>
      </c>
      <c r="D380" s="778" t="s">
        <v>959</v>
      </c>
      <c r="E380" s="777"/>
      <c r="F380" s="777"/>
      <c r="G380" s="778" t="s">
        <v>960</v>
      </c>
      <c r="H380" s="777"/>
      <c r="I380" s="777"/>
      <c r="J380" s="778" t="s">
        <v>961</v>
      </c>
      <c r="K380" s="777"/>
      <c r="L380" s="777"/>
      <c r="M380" s="779" t="s">
        <v>8</v>
      </c>
      <c r="N380" s="820" t="s">
        <v>9</v>
      </c>
      <c r="O380" s="823" t="s">
        <v>10</v>
      </c>
      <c r="P380" s="824" t="s">
        <v>11</v>
      </c>
      <c r="Q380" s="824" t="s">
        <v>12</v>
      </c>
      <c r="R380" s="824" t="s">
        <v>13</v>
      </c>
      <c r="S380" s="812" t="s">
        <v>14</v>
      </c>
      <c r="T380" s="825" t="s">
        <v>15</v>
      </c>
    </row>
    <row r="381" spans="1:20" s="19" customFormat="1" ht="36.75" customHeight="1" x14ac:dyDescent="0.3">
      <c r="A381" s="811"/>
      <c r="B381" s="815"/>
      <c r="C381" s="777"/>
      <c r="D381" s="778" t="s">
        <v>16</v>
      </c>
      <c r="E381" s="778" t="s">
        <v>17</v>
      </c>
      <c r="F381" s="777"/>
      <c r="G381" s="778" t="s">
        <v>16</v>
      </c>
      <c r="H381" s="778" t="s">
        <v>17</v>
      </c>
      <c r="I381" s="777"/>
      <c r="J381" s="776" t="s">
        <v>18</v>
      </c>
      <c r="K381" s="778" t="s">
        <v>17</v>
      </c>
      <c r="L381" s="777"/>
      <c r="M381" s="777"/>
      <c r="N381" s="821"/>
      <c r="O381" s="813"/>
      <c r="P381" s="813"/>
      <c r="Q381" s="813"/>
      <c r="R381" s="813"/>
      <c r="S381" s="813"/>
      <c r="T381" s="826"/>
    </row>
    <row r="382" spans="1:20" s="19" customFormat="1" ht="52.5" customHeight="1" x14ac:dyDescent="0.3">
      <c r="A382" s="801"/>
      <c r="B382" s="816"/>
      <c r="C382" s="777"/>
      <c r="D382" s="777"/>
      <c r="E382" s="415" t="s">
        <v>962</v>
      </c>
      <c r="F382" s="415" t="s">
        <v>963</v>
      </c>
      <c r="G382" s="777"/>
      <c r="H382" s="415" t="s">
        <v>962</v>
      </c>
      <c r="I382" s="189" t="s">
        <v>963</v>
      </c>
      <c r="J382" s="777"/>
      <c r="K382" s="415" t="s">
        <v>962</v>
      </c>
      <c r="L382" s="415" t="s">
        <v>963</v>
      </c>
      <c r="M382" s="777"/>
      <c r="N382" s="822"/>
      <c r="O382" s="766"/>
      <c r="P382" s="766"/>
      <c r="Q382" s="766"/>
      <c r="R382" s="766"/>
      <c r="S382" s="766"/>
      <c r="T382" s="808"/>
    </row>
    <row r="383" spans="1:20" s="19" customFormat="1" ht="88.5" customHeight="1" x14ac:dyDescent="0.3">
      <c r="A383" s="179" t="s">
        <v>122</v>
      </c>
      <c r="B383" s="346" t="s">
        <v>361</v>
      </c>
      <c r="C383" s="424" t="s">
        <v>362</v>
      </c>
      <c r="D383" s="191">
        <f>E383+F383</f>
        <v>130</v>
      </c>
      <c r="E383" s="191">
        <v>120</v>
      </c>
      <c r="F383" s="191">
        <v>10</v>
      </c>
      <c r="G383" s="191">
        <f>H383+I383</f>
        <v>130</v>
      </c>
      <c r="H383" s="191">
        <v>120</v>
      </c>
      <c r="I383" s="192">
        <v>10</v>
      </c>
      <c r="J383" s="191">
        <v>31.8</v>
      </c>
      <c r="K383" s="191">
        <v>21.8</v>
      </c>
      <c r="L383" s="191">
        <f>+J383-K383</f>
        <v>10</v>
      </c>
      <c r="M383" s="193">
        <v>0</v>
      </c>
      <c r="N383" s="355">
        <f>(L383/F383)*100%</f>
        <v>1</v>
      </c>
      <c r="O383" s="138" t="s">
        <v>21</v>
      </c>
      <c r="P383" s="144" t="s">
        <v>197</v>
      </c>
      <c r="Q383" s="144" t="s">
        <v>23</v>
      </c>
      <c r="R383" s="138" t="s">
        <v>24</v>
      </c>
      <c r="S383" s="138" t="s">
        <v>21</v>
      </c>
      <c r="T383" s="184" t="s">
        <v>363</v>
      </c>
    </row>
    <row r="384" spans="1:20" s="19" customFormat="1" ht="38.25" customHeight="1" x14ac:dyDescent="0.3">
      <c r="A384" s="86" t="s">
        <v>27</v>
      </c>
      <c r="B384" s="87" t="s">
        <v>777</v>
      </c>
      <c r="C384" s="356"/>
      <c r="D384" s="356"/>
      <c r="E384" s="356"/>
      <c r="F384" s="356"/>
      <c r="G384" s="356"/>
      <c r="H384" s="356"/>
      <c r="I384" s="357"/>
      <c r="J384" s="356"/>
      <c r="K384" s="358"/>
      <c r="L384" s="358"/>
      <c r="M384" s="356"/>
      <c r="N384" s="89"/>
      <c r="O384" s="88"/>
      <c r="P384" s="90"/>
      <c r="Q384" s="88"/>
      <c r="R384" s="88"/>
      <c r="S384" s="91"/>
      <c r="T384" s="88"/>
    </row>
    <row r="385" spans="1:20" s="19" customFormat="1" ht="68.25" customHeight="1" x14ac:dyDescent="0.3">
      <c r="A385" s="781" t="s">
        <v>5</v>
      </c>
      <c r="B385" s="788" t="s">
        <v>663</v>
      </c>
      <c r="C385" s="761" t="s">
        <v>664</v>
      </c>
      <c r="D385" s="761" t="s">
        <v>665</v>
      </c>
      <c r="E385" s="761"/>
      <c r="F385" s="761"/>
      <c r="G385" s="761"/>
      <c r="H385" s="761" t="s">
        <v>666</v>
      </c>
      <c r="I385" s="760" t="s">
        <v>667</v>
      </c>
      <c r="J385" s="760"/>
      <c r="K385" s="760"/>
      <c r="L385" s="762" t="s">
        <v>668</v>
      </c>
      <c r="M385" s="762"/>
      <c r="N385" s="794" t="s">
        <v>43</v>
      </c>
      <c r="O385" s="783" t="s">
        <v>669</v>
      </c>
      <c r="P385" s="796" t="s">
        <v>670</v>
      </c>
      <c r="Q385" s="796" t="s">
        <v>42</v>
      </c>
      <c r="R385" s="783" t="s">
        <v>671</v>
      </c>
      <c r="S385" s="783" t="s">
        <v>44</v>
      </c>
      <c r="T385" s="798" t="s">
        <v>15</v>
      </c>
    </row>
    <row r="386" spans="1:20" s="19" customFormat="1" ht="84" customHeight="1" x14ac:dyDescent="0.3">
      <c r="A386" s="782"/>
      <c r="B386" s="789"/>
      <c r="C386" s="761"/>
      <c r="D386" s="407" t="s">
        <v>672</v>
      </c>
      <c r="E386" s="407" t="s">
        <v>673</v>
      </c>
      <c r="F386" s="407" t="s">
        <v>759</v>
      </c>
      <c r="G386" s="407" t="s">
        <v>17</v>
      </c>
      <c r="H386" s="761"/>
      <c r="I386" s="420" t="s">
        <v>674</v>
      </c>
      <c r="J386" s="418" t="s">
        <v>675</v>
      </c>
      <c r="K386" s="419" t="s">
        <v>676</v>
      </c>
      <c r="L386" s="419" t="s">
        <v>677</v>
      </c>
      <c r="M386" s="134" t="s">
        <v>678</v>
      </c>
      <c r="N386" s="795"/>
      <c r="O386" s="784"/>
      <c r="P386" s="797"/>
      <c r="Q386" s="797"/>
      <c r="R386" s="784"/>
      <c r="S386" s="784"/>
      <c r="T386" s="799"/>
    </row>
    <row r="387" spans="1:20" s="19" customFormat="1" ht="81.75" customHeight="1" x14ac:dyDescent="0.3">
      <c r="A387" s="226" t="s">
        <v>19</v>
      </c>
      <c r="B387" s="347" t="s">
        <v>783</v>
      </c>
      <c r="C387" s="228" t="s">
        <v>784</v>
      </c>
      <c r="D387" s="884" t="s">
        <v>425</v>
      </c>
      <c r="E387" s="884" t="s">
        <v>757</v>
      </c>
      <c r="F387" s="885">
        <v>31.8</v>
      </c>
      <c r="G387" s="886" t="s">
        <v>785</v>
      </c>
      <c r="H387" s="420" t="s">
        <v>786</v>
      </c>
      <c r="I387" s="420">
        <v>21.8</v>
      </c>
      <c r="J387" s="419">
        <v>0</v>
      </c>
      <c r="K387" s="419">
        <f>I387+J387</f>
        <v>21.8</v>
      </c>
      <c r="L387" s="419">
        <v>0</v>
      </c>
      <c r="M387" s="134"/>
      <c r="N387" s="230">
        <v>1</v>
      </c>
      <c r="O387" s="423">
        <v>1</v>
      </c>
      <c r="P387" s="231">
        <v>6474000</v>
      </c>
      <c r="Q387" s="231">
        <f>+ROUND((P387*N387*K387),-3)</f>
        <v>141133000</v>
      </c>
      <c r="R387" s="231">
        <f>-ROUND((38000*J387*0.5%),-3)</f>
        <v>0</v>
      </c>
      <c r="S387" s="408">
        <f>+Q387+R387</f>
        <v>141133000</v>
      </c>
      <c r="T387" s="830" t="s">
        <v>833</v>
      </c>
    </row>
    <row r="388" spans="1:20" s="19" customFormat="1" ht="97.5" customHeight="1" x14ac:dyDescent="0.3">
      <c r="A388" s="226" t="s">
        <v>98</v>
      </c>
      <c r="B388" s="347" t="s">
        <v>679</v>
      </c>
      <c r="C388" s="228" t="s">
        <v>784</v>
      </c>
      <c r="D388" s="884"/>
      <c r="E388" s="884"/>
      <c r="F388" s="885"/>
      <c r="G388" s="886"/>
      <c r="H388" s="420" t="s">
        <v>786</v>
      </c>
      <c r="I388" s="420">
        <v>10</v>
      </c>
      <c r="J388" s="419">
        <v>0</v>
      </c>
      <c r="K388" s="419">
        <f>I388+J388</f>
        <v>10</v>
      </c>
      <c r="L388" s="419">
        <v>0</v>
      </c>
      <c r="M388" s="134"/>
      <c r="N388" s="230">
        <v>1</v>
      </c>
      <c r="O388" s="423">
        <v>1</v>
      </c>
      <c r="P388" s="231">
        <v>823000</v>
      </c>
      <c r="Q388" s="231">
        <f>+ROUND((P388*N388*K388),-3)</f>
        <v>8230000</v>
      </c>
      <c r="R388" s="231">
        <f>-ROUND((38000*J388*0.5%),-3)</f>
        <v>0</v>
      </c>
      <c r="S388" s="408">
        <f>+Q388+R388</f>
        <v>8230000</v>
      </c>
      <c r="T388" s="831"/>
    </row>
    <row r="389" spans="1:20" s="19" customFormat="1" ht="19.5" x14ac:dyDescent="0.3">
      <c r="A389" s="97" t="s">
        <v>28</v>
      </c>
      <c r="B389" s="98" t="s">
        <v>141</v>
      </c>
      <c r="C389" s="99"/>
      <c r="D389" s="99"/>
      <c r="E389" s="99"/>
      <c r="F389" s="99"/>
      <c r="G389" s="99"/>
      <c r="H389" s="99"/>
      <c r="I389" s="128"/>
      <c r="J389" s="99"/>
      <c r="K389" s="100"/>
      <c r="L389" s="100"/>
      <c r="M389" s="99"/>
      <c r="N389" s="100"/>
      <c r="O389" s="99"/>
      <c r="P389" s="101"/>
      <c r="Q389" s="102"/>
      <c r="R389" s="102"/>
      <c r="S389" s="103">
        <v>0</v>
      </c>
      <c r="T389" s="99"/>
    </row>
    <row r="390" spans="1:20" s="19" customFormat="1" ht="33" customHeight="1" x14ac:dyDescent="0.3">
      <c r="A390" s="272" t="s">
        <v>56</v>
      </c>
      <c r="B390" s="273" t="s">
        <v>201</v>
      </c>
      <c r="C390" s="233"/>
      <c r="D390" s="233"/>
      <c r="E390" s="233"/>
      <c r="F390" s="233"/>
      <c r="G390" s="233"/>
      <c r="H390" s="233"/>
      <c r="I390" s="234"/>
      <c r="J390" s="233"/>
      <c r="K390" s="235"/>
      <c r="L390" s="235"/>
      <c r="M390" s="233"/>
      <c r="N390" s="235"/>
      <c r="O390" s="233"/>
      <c r="P390" s="236"/>
      <c r="Q390" s="233"/>
      <c r="R390" s="233"/>
      <c r="S390" s="237">
        <f>S397</f>
        <v>6801000</v>
      </c>
      <c r="T390" s="233"/>
    </row>
    <row r="391" spans="1:20" s="19" customFormat="1" ht="17.25" customHeight="1" x14ac:dyDescent="0.3">
      <c r="A391" s="765"/>
      <c r="B391" s="767" t="s">
        <v>51</v>
      </c>
      <c r="C391" s="767" t="s">
        <v>58</v>
      </c>
      <c r="D391" s="768" t="s">
        <v>59</v>
      </c>
      <c r="E391" s="769" t="s">
        <v>60</v>
      </c>
      <c r="F391" s="769" t="s">
        <v>61</v>
      </c>
      <c r="G391" s="769" t="s">
        <v>62</v>
      </c>
      <c r="H391" s="769" t="s">
        <v>63</v>
      </c>
      <c r="I391" s="770" t="s">
        <v>64</v>
      </c>
      <c r="J391" s="757"/>
      <c r="K391" s="757"/>
      <c r="L391" s="757"/>
      <c r="M391" s="758"/>
      <c r="N391" s="771" t="s">
        <v>3</v>
      </c>
      <c r="O391" s="771" t="s">
        <v>65</v>
      </c>
      <c r="P391" s="771" t="s">
        <v>66</v>
      </c>
      <c r="Q391" s="771" t="s">
        <v>67</v>
      </c>
      <c r="R391" s="767" t="s">
        <v>68</v>
      </c>
      <c r="S391" s="767" t="s">
        <v>69</v>
      </c>
      <c r="T391" s="767" t="s">
        <v>70</v>
      </c>
    </row>
    <row r="392" spans="1:20" s="19" customFormat="1" ht="18.75" customHeight="1" x14ac:dyDescent="0.3">
      <c r="A392" s="766"/>
      <c r="B392" s="766"/>
      <c r="C392" s="766"/>
      <c r="D392" s="766"/>
      <c r="E392" s="766"/>
      <c r="F392" s="766"/>
      <c r="G392" s="766"/>
      <c r="H392" s="766"/>
      <c r="I392" s="168" t="s">
        <v>71</v>
      </c>
      <c r="J392" s="159" t="s">
        <v>72</v>
      </c>
      <c r="K392" s="159" t="s">
        <v>73</v>
      </c>
      <c r="L392" s="45" t="s">
        <v>74</v>
      </c>
      <c r="M392" s="204" t="s">
        <v>75</v>
      </c>
      <c r="N392" s="766"/>
      <c r="O392" s="766"/>
      <c r="P392" s="766"/>
      <c r="Q392" s="766"/>
      <c r="R392" s="766"/>
      <c r="S392" s="766"/>
      <c r="T392" s="766"/>
    </row>
    <row r="393" spans="1:20" s="19" customFormat="1" ht="90.75" customHeight="1" x14ac:dyDescent="0.3">
      <c r="A393" s="196" t="s">
        <v>5</v>
      </c>
      <c r="B393" s="49" t="s">
        <v>76</v>
      </c>
      <c r="C393" s="49" t="s">
        <v>77</v>
      </c>
      <c r="D393" s="49" t="s">
        <v>78</v>
      </c>
      <c r="E393" s="159" t="s">
        <v>79</v>
      </c>
      <c r="F393" s="159" t="s">
        <v>80</v>
      </c>
      <c r="G393" s="159" t="s">
        <v>81</v>
      </c>
      <c r="H393" s="45" t="s">
        <v>82</v>
      </c>
      <c r="I393" s="168" t="s">
        <v>83</v>
      </c>
      <c r="J393" s="242" t="s">
        <v>84</v>
      </c>
      <c r="K393" s="242" t="s">
        <v>85</v>
      </c>
      <c r="L393" s="49" t="s">
        <v>86</v>
      </c>
      <c r="M393" s="204" t="s">
        <v>87</v>
      </c>
      <c r="N393" s="159" t="s">
        <v>88</v>
      </c>
      <c r="O393" s="159" t="s">
        <v>89</v>
      </c>
      <c r="P393" s="159" t="s">
        <v>90</v>
      </c>
      <c r="Q393" s="159" t="s">
        <v>91</v>
      </c>
      <c r="R393" s="159" t="s">
        <v>92</v>
      </c>
      <c r="S393" s="159" t="s">
        <v>964</v>
      </c>
      <c r="T393" s="159" t="s">
        <v>15</v>
      </c>
    </row>
    <row r="394" spans="1:20" ht="74.25" customHeight="1" x14ac:dyDescent="0.3">
      <c r="A394" s="620">
        <v>1</v>
      </c>
      <c r="B394" s="498" t="s">
        <v>126</v>
      </c>
      <c r="C394" s="498" t="s">
        <v>364</v>
      </c>
      <c r="D394" s="499" t="s">
        <v>1037</v>
      </c>
      <c r="E394" s="502" t="s">
        <v>365</v>
      </c>
      <c r="F394" s="458"/>
      <c r="G394" s="457">
        <f>2023-E394</f>
        <v>1</v>
      </c>
      <c r="H394" s="460" t="s">
        <v>95</v>
      </c>
      <c r="I394" s="501">
        <f>2*0.5*5.3</f>
        <v>5.3</v>
      </c>
      <c r="J394" s="461" t="s">
        <v>96</v>
      </c>
      <c r="K394" s="460">
        <f>+I394-J394</f>
        <v>5.3</v>
      </c>
      <c r="L394" s="462">
        <v>0.99199999999999999</v>
      </c>
      <c r="M394" s="463">
        <v>2360000</v>
      </c>
      <c r="N394" s="464">
        <v>0.3</v>
      </c>
      <c r="O394" s="463">
        <f>+M394</f>
        <v>2360000</v>
      </c>
      <c r="P394" s="459">
        <f>+ROUND((K394*L394*O394*N394),-3)</f>
        <v>3722000</v>
      </c>
      <c r="Q394" s="463" t="s">
        <v>97</v>
      </c>
      <c r="R394" s="463" t="s">
        <v>97</v>
      </c>
      <c r="S394" s="459">
        <f>P394</f>
        <v>3722000</v>
      </c>
      <c r="T394" s="460" t="s">
        <v>905</v>
      </c>
    </row>
    <row r="395" spans="1:20" ht="81.75" customHeight="1" x14ac:dyDescent="0.3">
      <c r="A395" s="620">
        <v>2</v>
      </c>
      <c r="B395" s="498" t="s">
        <v>93</v>
      </c>
      <c r="C395" s="498" t="s">
        <v>366</v>
      </c>
      <c r="D395" s="499" t="s">
        <v>1021</v>
      </c>
      <c r="E395" s="502" t="s">
        <v>365</v>
      </c>
      <c r="F395" s="458"/>
      <c r="G395" s="457">
        <f>2023-E395</f>
        <v>1</v>
      </c>
      <c r="H395" s="460" t="s">
        <v>95</v>
      </c>
      <c r="I395" s="501">
        <f>1*5.3</f>
        <v>5.3</v>
      </c>
      <c r="J395" s="461" t="s">
        <v>96</v>
      </c>
      <c r="K395" s="460">
        <f>+I395-J395</f>
        <v>5.3</v>
      </c>
      <c r="L395" s="462">
        <v>0.99199999999999999</v>
      </c>
      <c r="M395" s="463">
        <v>134000</v>
      </c>
      <c r="N395" s="464">
        <v>0.3</v>
      </c>
      <c r="O395" s="463">
        <f>+M395</f>
        <v>134000</v>
      </c>
      <c r="P395" s="459">
        <f>+ROUND((K395*L395*O395*N395),-3)</f>
        <v>211000</v>
      </c>
      <c r="Q395" s="463" t="s">
        <v>97</v>
      </c>
      <c r="R395" s="463" t="s">
        <v>97</v>
      </c>
      <c r="S395" s="459">
        <f>P395</f>
        <v>211000</v>
      </c>
      <c r="T395" s="460" t="s">
        <v>1026</v>
      </c>
    </row>
    <row r="396" spans="1:20" ht="157.5" customHeight="1" x14ac:dyDescent="0.3">
      <c r="A396" s="620">
        <v>3</v>
      </c>
      <c r="B396" s="498" t="s">
        <v>93</v>
      </c>
      <c r="C396" s="498" t="s">
        <v>1051</v>
      </c>
      <c r="D396" s="499" t="s">
        <v>1021</v>
      </c>
      <c r="E396" s="502" t="s">
        <v>365</v>
      </c>
      <c r="F396" s="458"/>
      <c r="G396" s="457">
        <f>2023-E396</f>
        <v>1</v>
      </c>
      <c r="H396" s="460" t="s">
        <v>95</v>
      </c>
      <c r="I396" s="501">
        <f>1.8*5</f>
        <v>9</v>
      </c>
      <c r="J396" s="461" t="s">
        <v>96</v>
      </c>
      <c r="K396" s="460">
        <f>+I396-J396</f>
        <v>9</v>
      </c>
      <c r="L396" s="462">
        <v>0.99199999999999999</v>
      </c>
      <c r="M396" s="463">
        <v>1487000</v>
      </c>
      <c r="N396" s="464">
        <v>0.3</v>
      </c>
      <c r="O396" s="463">
        <f>+M396*80%*90%</f>
        <v>1070640</v>
      </c>
      <c r="P396" s="459">
        <f>+ROUND((K396*L396*O396*N396),-3)</f>
        <v>2868000</v>
      </c>
      <c r="Q396" s="463" t="s">
        <v>97</v>
      </c>
      <c r="R396" s="463" t="s">
        <v>97</v>
      </c>
      <c r="S396" s="459">
        <f>P396</f>
        <v>2868000</v>
      </c>
      <c r="T396" s="460" t="s">
        <v>992</v>
      </c>
    </row>
    <row r="397" spans="1:20" s="19" customFormat="1" ht="25.5" customHeight="1" x14ac:dyDescent="0.3">
      <c r="A397" s="313"/>
      <c r="B397" s="166" t="s">
        <v>55</v>
      </c>
      <c r="C397" s="166"/>
      <c r="D397" s="159"/>
      <c r="E397" s="159"/>
      <c r="F397" s="167"/>
      <c r="G397" s="167"/>
      <c r="H397" s="167"/>
      <c r="I397" s="168"/>
      <c r="J397" s="167"/>
      <c r="K397" s="167"/>
      <c r="L397" s="167"/>
      <c r="M397" s="167"/>
      <c r="N397" s="167"/>
      <c r="O397" s="167"/>
      <c r="P397" s="167"/>
      <c r="Q397" s="167"/>
      <c r="R397" s="167"/>
      <c r="S397" s="45">
        <f>SUM(S394:S396)</f>
        <v>6801000</v>
      </c>
      <c r="T397" s="167"/>
    </row>
    <row r="398" spans="1:20" s="19" customFormat="1" ht="23.25" customHeight="1" x14ac:dyDescent="0.3">
      <c r="A398" s="171" t="s">
        <v>131</v>
      </c>
      <c r="B398" s="172" t="s">
        <v>132</v>
      </c>
      <c r="C398" s="173"/>
      <c r="D398" s="466"/>
      <c r="E398" s="466"/>
      <c r="F398" s="466"/>
      <c r="G398" s="466"/>
      <c r="H398" s="466"/>
      <c r="I398" s="467"/>
      <c r="J398" s="466"/>
      <c r="K398" s="468"/>
      <c r="L398" s="468"/>
      <c r="M398" s="466"/>
      <c r="N398" s="468"/>
      <c r="O398" s="466"/>
      <c r="P398" s="469"/>
      <c r="Q398" s="466"/>
      <c r="R398" s="466"/>
      <c r="S398" s="470"/>
      <c r="T398" s="466"/>
    </row>
    <row r="399" spans="1:20" s="19" customFormat="1" ht="30" customHeight="1" x14ac:dyDescent="0.3">
      <c r="A399" s="171" t="s">
        <v>133</v>
      </c>
      <c r="B399" s="172" t="s">
        <v>134</v>
      </c>
      <c r="C399" s="174"/>
      <c r="D399" s="174"/>
      <c r="E399" s="174"/>
      <c r="F399" s="174"/>
      <c r="G399" s="174"/>
      <c r="H399" s="174"/>
      <c r="I399" s="175"/>
      <c r="J399" s="174"/>
      <c r="K399" s="176"/>
      <c r="L399" s="176"/>
      <c r="M399" s="174"/>
      <c r="N399" s="176"/>
      <c r="O399" s="174"/>
      <c r="P399" s="177"/>
      <c r="Q399" s="174"/>
      <c r="R399" s="174"/>
      <c r="S399" s="174"/>
      <c r="T399" s="174"/>
    </row>
    <row r="400" spans="1:20" s="19" customFormat="1" ht="30" customHeight="1" x14ac:dyDescent="0.3">
      <c r="A400" s="178" t="s">
        <v>135</v>
      </c>
      <c r="B400" s="756" t="s">
        <v>367</v>
      </c>
      <c r="C400" s="757"/>
      <c r="D400" s="757"/>
      <c r="E400" s="757"/>
      <c r="F400" s="757"/>
      <c r="G400" s="757"/>
      <c r="H400" s="757"/>
      <c r="I400" s="757"/>
      <c r="J400" s="757"/>
      <c r="K400" s="757"/>
      <c r="L400" s="757"/>
      <c r="M400" s="757"/>
      <c r="N400" s="757"/>
      <c r="O400" s="757"/>
      <c r="P400" s="757"/>
      <c r="Q400" s="757"/>
      <c r="R400" s="758"/>
      <c r="S400" s="29">
        <f>+S397</f>
        <v>6801000</v>
      </c>
      <c r="T400" s="174" t="s">
        <v>137</v>
      </c>
    </row>
    <row r="401" spans="1:20" ht="26.25" customHeight="1" x14ac:dyDescent="0.3">
      <c r="A401" s="474"/>
      <c r="B401" s="829" t="s">
        <v>368</v>
      </c>
      <c r="C401" s="773"/>
      <c r="D401" s="773"/>
      <c r="E401" s="773"/>
      <c r="F401" s="773"/>
      <c r="G401" s="773"/>
      <c r="H401" s="773"/>
      <c r="I401" s="773"/>
      <c r="J401" s="773"/>
      <c r="K401" s="773"/>
      <c r="L401" s="773"/>
      <c r="M401" s="773"/>
      <c r="N401" s="773"/>
      <c r="O401" s="773"/>
      <c r="P401" s="773"/>
      <c r="Q401" s="773"/>
      <c r="R401" s="773"/>
      <c r="S401" s="773"/>
      <c r="T401" s="474"/>
    </row>
    <row r="402" spans="1:20" ht="18.75" customHeight="1" x14ac:dyDescent="0.3">
      <c r="A402" s="474"/>
      <c r="B402" s="772" t="s">
        <v>1</v>
      </c>
      <c r="C402" s="773"/>
      <c r="D402" s="773"/>
      <c r="E402" s="773"/>
      <c r="F402" s="773"/>
      <c r="G402" s="773"/>
      <c r="H402" s="773"/>
      <c r="I402" s="773"/>
      <c r="J402" s="773"/>
      <c r="K402" s="773"/>
      <c r="L402" s="773"/>
      <c r="M402" s="773"/>
      <c r="N402" s="773"/>
      <c r="O402" s="773"/>
      <c r="P402" s="773"/>
      <c r="Q402" s="773"/>
      <c r="R402" s="773"/>
      <c r="S402" s="773"/>
      <c r="T402" s="474"/>
    </row>
    <row r="403" spans="1:20" ht="18.75" customHeight="1" x14ac:dyDescent="0.3">
      <c r="A403" s="474"/>
      <c r="B403" s="772" t="s">
        <v>2</v>
      </c>
      <c r="C403" s="773"/>
      <c r="D403" s="773"/>
      <c r="E403" s="773"/>
      <c r="F403" s="773"/>
      <c r="G403" s="773"/>
      <c r="H403" s="773"/>
      <c r="I403" s="773"/>
      <c r="J403" s="773"/>
      <c r="K403" s="773"/>
      <c r="L403" s="773"/>
      <c r="M403" s="773"/>
      <c r="N403" s="773"/>
      <c r="O403" s="773"/>
      <c r="P403" s="773"/>
      <c r="Q403" s="773"/>
      <c r="R403" s="773"/>
      <c r="S403" s="773"/>
      <c r="T403" s="474"/>
    </row>
    <row r="404" spans="1:20" ht="27" customHeight="1" x14ac:dyDescent="0.3">
      <c r="A404" s="475"/>
      <c r="B404" s="809" t="str">
        <f>B378</f>
        <v>(Kèm theo Quyết định số     /QĐ-UBND ngày     tháng     năm 2026 của Ủy ban nhân dân xã Thuận An)</v>
      </c>
      <c r="C404" s="773"/>
      <c r="D404" s="773"/>
      <c r="E404" s="773"/>
      <c r="F404" s="773"/>
      <c r="G404" s="773"/>
      <c r="H404" s="773"/>
      <c r="I404" s="773"/>
      <c r="J404" s="773"/>
      <c r="K404" s="773"/>
      <c r="L404" s="773"/>
      <c r="M404" s="773"/>
      <c r="N404" s="773"/>
      <c r="O404" s="773"/>
      <c r="P404" s="773"/>
      <c r="Q404" s="773"/>
      <c r="R404" s="773"/>
      <c r="S404" s="773"/>
      <c r="T404" s="475"/>
    </row>
    <row r="405" spans="1:20" s="19" customFormat="1" ht="18.75" customHeight="1" thickBot="1" x14ac:dyDescent="0.35">
      <c r="A405" s="272" t="s">
        <v>3</v>
      </c>
      <c r="B405" s="273" t="s">
        <v>4</v>
      </c>
      <c r="C405" s="233"/>
      <c r="D405" s="233"/>
      <c r="E405" s="233"/>
      <c r="F405" s="233"/>
      <c r="G405" s="233"/>
      <c r="H405" s="233"/>
      <c r="I405" s="234"/>
      <c r="J405" s="233"/>
      <c r="K405" s="235"/>
      <c r="L405" s="235"/>
      <c r="M405" s="233"/>
      <c r="N405" s="235"/>
      <c r="O405" s="233"/>
      <c r="P405" s="236"/>
      <c r="Q405" s="233"/>
      <c r="R405" s="233"/>
      <c r="S405" s="237"/>
      <c r="T405" s="233"/>
    </row>
    <row r="406" spans="1:20" s="19" customFormat="1" ht="38.25" customHeight="1" x14ac:dyDescent="0.3">
      <c r="A406" s="810" t="s">
        <v>5</v>
      </c>
      <c r="B406" s="812" t="s">
        <v>6</v>
      </c>
      <c r="C406" s="814" t="s">
        <v>7</v>
      </c>
      <c r="D406" s="817" t="s">
        <v>959</v>
      </c>
      <c r="E406" s="818"/>
      <c r="F406" s="819"/>
      <c r="G406" s="817" t="s">
        <v>960</v>
      </c>
      <c r="H406" s="818"/>
      <c r="I406" s="819"/>
      <c r="J406" s="817" t="s">
        <v>961</v>
      </c>
      <c r="K406" s="818"/>
      <c r="L406" s="819"/>
      <c r="M406" s="820" t="s">
        <v>8</v>
      </c>
      <c r="N406" s="823" t="s">
        <v>9</v>
      </c>
      <c r="O406" s="823" t="s">
        <v>10</v>
      </c>
      <c r="P406" s="824" t="s">
        <v>11</v>
      </c>
      <c r="Q406" s="824" t="s">
        <v>12</v>
      </c>
      <c r="R406" s="824" t="s">
        <v>13</v>
      </c>
      <c r="S406" s="812" t="s">
        <v>14</v>
      </c>
      <c r="T406" s="825" t="s">
        <v>15</v>
      </c>
    </row>
    <row r="407" spans="1:20" s="19" customFormat="1" ht="39.75" customHeight="1" x14ac:dyDescent="0.3">
      <c r="A407" s="811"/>
      <c r="B407" s="813"/>
      <c r="C407" s="815"/>
      <c r="D407" s="827" t="s">
        <v>16</v>
      </c>
      <c r="E407" s="803" t="s">
        <v>17</v>
      </c>
      <c r="F407" s="828"/>
      <c r="G407" s="827" t="s">
        <v>16</v>
      </c>
      <c r="H407" s="803" t="s">
        <v>17</v>
      </c>
      <c r="I407" s="828"/>
      <c r="J407" s="800" t="s">
        <v>18</v>
      </c>
      <c r="K407" s="803" t="s">
        <v>17</v>
      </c>
      <c r="L407" s="828"/>
      <c r="M407" s="821"/>
      <c r="N407" s="813"/>
      <c r="O407" s="813"/>
      <c r="P407" s="813"/>
      <c r="Q407" s="813"/>
      <c r="R407" s="813"/>
      <c r="S407" s="813"/>
      <c r="T407" s="826"/>
    </row>
    <row r="408" spans="1:20" s="19" customFormat="1" ht="59.25" customHeight="1" x14ac:dyDescent="0.3">
      <c r="A408" s="801"/>
      <c r="B408" s="766"/>
      <c r="C408" s="816"/>
      <c r="D408" s="801"/>
      <c r="E408" s="167" t="s">
        <v>962</v>
      </c>
      <c r="F408" s="185" t="s">
        <v>963</v>
      </c>
      <c r="G408" s="801"/>
      <c r="H408" s="167" t="s">
        <v>962</v>
      </c>
      <c r="I408" s="186" t="s">
        <v>963</v>
      </c>
      <c r="J408" s="801"/>
      <c r="K408" s="167" t="s">
        <v>962</v>
      </c>
      <c r="L408" s="185" t="s">
        <v>963</v>
      </c>
      <c r="M408" s="822"/>
      <c r="N408" s="766"/>
      <c r="O408" s="766"/>
      <c r="P408" s="766"/>
      <c r="Q408" s="766"/>
      <c r="R408" s="766"/>
      <c r="S408" s="766"/>
      <c r="T408" s="808"/>
    </row>
    <row r="409" spans="1:20" s="19" customFormat="1" ht="96" customHeight="1" x14ac:dyDescent="0.3">
      <c r="A409" s="179" t="s">
        <v>125</v>
      </c>
      <c r="B409" s="44" t="s">
        <v>369</v>
      </c>
      <c r="C409" s="49" t="s">
        <v>370</v>
      </c>
      <c r="D409" s="180">
        <f>E409+F409</f>
        <v>2765</v>
      </c>
      <c r="E409" s="143">
        <f>50+405</f>
        <v>455</v>
      </c>
      <c r="F409" s="181">
        <f>2310</f>
        <v>2310</v>
      </c>
      <c r="G409" s="180">
        <f>H409+I409</f>
        <v>2765</v>
      </c>
      <c r="H409" s="143">
        <f>E409</f>
        <v>455</v>
      </c>
      <c r="I409" s="182">
        <f>F409</f>
        <v>2310</v>
      </c>
      <c r="J409" s="180">
        <f>30.5+35.6</f>
        <v>66.099999999999994</v>
      </c>
      <c r="K409" s="143">
        <v>0</v>
      </c>
      <c r="L409" s="181">
        <f>+J409-K409</f>
        <v>66.099999999999994</v>
      </c>
      <c r="M409" s="377">
        <v>0</v>
      </c>
      <c r="N409" s="307">
        <f>(L409/F409)*100%</f>
        <v>2.8614718614718614E-2</v>
      </c>
      <c r="O409" s="138" t="s">
        <v>21</v>
      </c>
      <c r="P409" s="144" t="s">
        <v>140</v>
      </c>
      <c r="Q409" s="144" t="s">
        <v>23</v>
      </c>
      <c r="R409" s="138" t="s">
        <v>24</v>
      </c>
      <c r="S409" s="138" t="s">
        <v>21</v>
      </c>
      <c r="T409" s="184" t="s">
        <v>371</v>
      </c>
    </row>
    <row r="410" spans="1:20" s="19" customFormat="1" ht="19.5" x14ac:dyDescent="0.3">
      <c r="A410" s="272" t="s">
        <v>27</v>
      </c>
      <c r="B410" s="273" t="s">
        <v>777</v>
      </c>
      <c r="C410" s="233"/>
      <c r="D410" s="233"/>
      <c r="E410" s="233"/>
      <c r="F410" s="233"/>
      <c r="G410" s="233"/>
      <c r="H410" s="233"/>
      <c r="I410" s="234"/>
      <c r="J410" s="233"/>
      <c r="K410" s="235"/>
      <c r="L410" s="235"/>
      <c r="M410" s="233"/>
      <c r="N410" s="235"/>
      <c r="O410" s="233"/>
      <c r="P410" s="236"/>
      <c r="Q410" s="233"/>
      <c r="R410" s="233"/>
      <c r="S410" s="233"/>
      <c r="T410" s="233"/>
    </row>
    <row r="411" spans="1:20" s="19" customFormat="1" ht="59.25" customHeight="1" x14ac:dyDescent="0.3">
      <c r="A411" s="781" t="s">
        <v>5</v>
      </c>
      <c r="B411" s="783" t="s">
        <v>663</v>
      </c>
      <c r="C411" s="783" t="s">
        <v>664</v>
      </c>
      <c r="D411" s="785" t="s">
        <v>665</v>
      </c>
      <c r="E411" s="786"/>
      <c r="F411" s="786"/>
      <c r="G411" s="787"/>
      <c r="H411" s="788" t="s">
        <v>666</v>
      </c>
      <c r="I411" s="790" t="s">
        <v>667</v>
      </c>
      <c r="J411" s="760"/>
      <c r="K411" s="791"/>
      <c r="L411" s="792" t="s">
        <v>668</v>
      </c>
      <c r="M411" s="793"/>
      <c r="N411" s="794" t="s">
        <v>43</v>
      </c>
      <c r="O411" s="783" t="s">
        <v>669</v>
      </c>
      <c r="P411" s="796" t="s">
        <v>670</v>
      </c>
      <c r="Q411" s="796" t="s">
        <v>42</v>
      </c>
      <c r="R411" s="783" t="s">
        <v>671</v>
      </c>
      <c r="S411" s="783" t="s">
        <v>44</v>
      </c>
      <c r="T411" s="798" t="s">
        <v>15</v>
      </c>
    </row>
    <row r="412" spans="1:20" s="19" customFormat="1" ht="74.25" customHeight="1" x14ac:dyDescent="0.3">
      <c r="A412" s="782"/>
      <c r="B412" s="784"/>
      <c r="C412" s="784"/>
      <c r="D412" s="407" t="s">
        <v>672</v>
      </c>
      <c r="E412" s="407" t="s">
        <v>673</v>
      </c>
      <c r="F412" s="407" t="s">
        <v>759</v>
      </c>
      <c r="G412" s="407" t="s">
        <v>17</v>
      </c>
      <c r="H412" s="789"/>
      <c r="I412" s="125" t="s">
        <v>674</v>
      </c>
      <c r="J412" s="418" t="s">
        <v>675</v>
      </c>
      <c r="K412" s="81" t="s">
        <v>676</v>
      </c>
      <c r="L412" s="82" t="s">
        <v>677</v>
      </c>
      <c r="M412" s="83" t="s">
        <v>678</v>
      </c>
      <c r="N412" s="795"/>
      <c r="O412" s="784"/>
      <c r="P412" s="797"/>
      <c r="Q412" s="797"/>
      <c r="R412" s="784"/>
      <c r="S412" s="784"/>
      <c r="T412" s="799"/>
    </row>
    <row r="413" spans="1:20" s="19" customFormat="1" ht="105.75" customHeight="1" x14ac:dyDescent="0.3">
      <c r="A413" s="226" t="s">
        <v>19</v>
      </c>
      <c r="B413" s="227" t="s">
        <v>679</v>
      </c>
      <c r="C413" s="228" t="s">
        <v>787</v>
      </c>
      <c r="D413" s="410" t="s">
        <v>457</v>
      </c>
      <c r="E413" s="410" t="s">
        <v>757</v>
      </c>
      <c r="F413" s="412">
        <v>30.5</v>
      </c>
      <c r="G413" s="359" t="s">
        <v>681</v>
      </c>
      <c r="H413" s="308" t="s">
        <v>788</v>
      </c>
      <c r="I413" s="125">
        <v>30.5</v>
      </c>
      <c r="J413" s="419">
        <v>0</v>
      </c>
      <c r="K413" s="419">
        <f>I413+J413</f>
        <v>30.5</v>
      </c>
      <c r="L413" s="82">
        <v>0</v>
      </c>
      <c r="M413" s="83"/>
      <c r="N413" s="230">
        <v>1</v>
      </c>
      <c r="O413" s="423">
        <v>1</v>
      </c>
      <c r="P413" s="231">
        <v>823000</v>
      </c>
      <c r="Q413" s="231">
        <f>+ROUND((P413*N413*K413),-3)</f>
        <v>25102000</v>
      </c>
      <c r="R413" s="231">
        <f>-ROUND((38000*J413*0.5%),-3)</f>
        <v>0</v>
      </c>
      <c r="S413" s="408">
        <f>+Q413+R413</f>
        <v>25102000</v>
      </c>
      <c r="T413" s="830" t="s">
        <v>833</v>
      </c>
    </row>
    <row r="414" spans="1:20" s="19" customFormat="1" ht="105.75" customHeight="1" x14ac:dyDescent="0.3">
      <c r="A414" s="226" t="s">
        <v>98</v>
      </c>
      <c r="B414" s="227" t="s">
        <v>679</v>
      </c>
      <c r="C414" s="228" t="s">
        <v>789</v>
      </c>
      <c r="D414" s="410" t="s">
        <v>543</v>
      </c>
      <c r="E414" s="410" t="s">
        <v>757</v>
      </c>
      <c r="F414" s="412">
        <v>35.6</v>
      </c>
      <c r="G414" s="359" t="s">
        <v>681</v>
      </c>
      <c r="H414" s="308" t="s">
        <v>790</v>
      </c>
      <c r="I414" s="125">
        <v>35.6</v>
      </c>
      <c r="J414" s="419">
        <v>0</v>
      </c>
      <c r="K414" s="419">
        <f>I414+J414</f>
        <v>35.6</v>
      </c>
      <c r="L414" s="82">
        <v>0</v>
      </c>
      <c r="M414" s="83"/>
      <c r="N414" s="230">
        <v>1</v>
      </c>
      <c r="O414" s="423">
        <v>1</v>
      </c>
      <c r="P414" s="231">
        <v>823000</v>
      </c>
      <c r="Q414" s="231">
        <f>+ROUND((P414*N414*K414),-3)</f>
        <v>29299000</v>
      </c>
      <c r="R414" s="231">
        <f>-ROUND((38000*J414*0.5%),-3)</f>
        <v>0</v>
      </c>
      <c r="S414" s="408">
        <f>+Q414+R414</f>
        <v>29299000</v>
      </c>
      <c r="T414" s="831"/>
    </row>
    <row r="415" spans="1:20" s="19" customFormat="1" ht="19.5" x14ac:dyDescent="0.3">
      <c r="A415" s="272" t="s">
        <v>28</v>
      </c>
      <c r="B415" s="273" t="s">
        <v>141</v>
      </c>
      <c r="C415" s="233"/>
      <c r="D415" s="233"/>
      <c r="E415" s="233"/>
      <c r="F415" s="233"/>
      <c r="G415" s="233"/>
      <c r="H415" s="233"/>
      <c r="I415" s="234"/>
      <c r="J415" s="233"/>
      <c r="K415" s="235"/>
      <c r="L415" s="235"/>
      <c r="M415" s="233"/>
      <c r="N415" s="235"/>
      <c r="O415" s="233"/>
      <c r="P415" s="236"/>
      <c r="Q415" s="237"/>
      <c r="R415" s="237"/>
      <c r="S415" s="237"/>
      <c r="T415" s="237"/>
    </row>
    <row r="416" spans="1:20" s="19" customFormat="1" ht="19.5" x14ac:dyDescent="0.3">
      <c r="A416" s="272" t="s">
        <v>56</v>
      </c>
      <c r="B416" s="273" t="s">
        <v>201</v>
      </c>
      <c r="C416" s="233"/>
      <c r="D416" s="233"/>
      <c r="E416" s="233"/>
      <c r="F416" s="233"/>
      <c r="G416" s="233"/>
      <c r="H416" s="233"/>
      <c r="I416" s="234"/>
      <c r="J416" s="233"/>
      <c r="K416" s="235"/>
      <c r="L416" s="235"/>
      <c r="M416" s="233"/>
      <c r="N416" s="235"/>
      <c r="O416" s="233"/>
      <c r="P416" s="236"/>
      <c r="Q416" s="233"/>
      <c r="R416" s="233"/>
      <c r="S416" s="203">
        <f>S422</f>
        <v>3196000</v>
      </c>
      <c r="T416" s="233"/>
    </row>
    <row r="417" spans="1:20" s="19" customFormat="1" ht="18.75" customHeight="1" x14ac:dyDescent="0.3">
      <c r="A417" s="765"/>
      <c r="B417" s="767" t="s">
        <v>51</v>
      </c>
      <c r="C417" s="767" t="s">
        <v>58</v>
      </c>
      <c r="D417" s="768" t="s">
        <v>59</v>
      </c>
      <c r="E417" s="769" t="s">
        <v>60</v>
      </c>
      <c r="F417" s="769" t="s">
        <v>61</v>
      </c>
      <c r="G417" s="769" t="s">
        <v>62</v>
      </c>
      <c r="H417" s="769" t="s">
        <v>63</v>
      </c>
      <c r="I417" s="770" t="s">
        <v>64</v>
      </c>
      <c r="J417" s="757"/>
      <c r="K417" s="757"/>
      <c r="L417" s="757"/>
      <c r="M417" s="758"/>
      <c r="N417" s="771" t="s">
        <v>3</v>
      </c>
      <c r="O417" s="771" t="s">
        <v>65</v>
      </c>
      <c r="P417" s="771" t="s">
        <v>66</v>
      </c>
      <c r="Q417" s="771" t="s">
        <v>67</v>
      </c>
      <c r="R417" s="767" t="s">
        <v>68</v>
      </c>
      <c r="S417" s="767" t="s">
        <v>69</v>
      </c>
      <c r="T417" s="767" t="s">
        <v>70</v>
      </c>
    </row>
    <row r="418" spans="1:20" s="19" customFormat="1" ht="18.75" customHeight="1" x14ac:dyDescent="0.3">
      <c r="A418" s="766"/>
      <c r="B418" s="766"/>
      <c r="C418" s="766"/>
      <c r="D418" s="766"/>
      <c r="E418" s="766"/>
      <c r="F418" s="766"/>
      <c r="G418" s="766"/>
      <c r="H418" s="766"/>
      <c r="I418" s="168" t="s">
        <v>71</v>
      </c>
      <c r="J418" s="159" t="s">
        <v>72</v>
      </c>
      <c r="K418" s="159" t="s">
        <v>73</v>
      </c>
      <c r="L418" s="45" t="s">
        <v>74</v>
      </c>
      <c r="M418" s="204" t="s">
        <v>75</v>
      </c>
      <c r="N418" s="766"/>
      <c r="O418" s="766"/>
      <c r="P418" s="766"/>
      <c r="Q418" s="766"/>
      <c r="R418" s="766"/>
      <c r="S418" s="766"/>
      <c r="T418" s="766"/>
    </row>
    <row r="419" spans="1:20" s="19" customFormat="1" ht="96.75" customHeight="1" x14ac:dyDescent="0.3">
      <c r="A419" s="196" t="s">
        <v>5</v>
      </c>
      <c r="B419" s="49" t="s">
        <v>76</v>
      </c>
      <c r="C419" s="49" t="s">
        <v>77</v>
      </c>
      <c r="D419" s="49" t="s">
        <v>78</v>
      </c>
      <c r="E419" s="159" t="s">
        <v>79</v>
      </c>
      <c r="F419" s="159" t="s">
        <v>80</v>
      </c>
      <c r="G419" s="159" t="s">
        <v>81</v>
      </c>
      <c r="H419" s="45" t="s">
        <v>82</v>
      </c>
      <c r="I419" s="168" t="s">
        <v>83</v>
      </c>
      <c r="J419" s="242" t="s">
        <v>84</v>
      </c>
      <c r="K419" s="242" t="s">
        <v>85</v>
      </c>
      <c r="L419" s="49" t="s">
        <v>86</v>
      </c>
      <c r="M419" s="204" t="s">
        <v>87</v>
      </c>
      <c r="N419" s="159" t="s">
        <v>88</v>
      </c>
      <c r="O419" s="159" t="s">
        <v>89</v>
      </c>
      <c r="P419" s="159" t="s">
        <v>90</v>
      </c>
      <c r="Q419" s="159" t="s">
        <v>91</v>
      </c>
      <c r="R419" s="159" t="s">
        <v>92</v>
      </c>
      <c r="S419" s="159" t="s">
        <v>964</v>
      </c>
      <c r="T419" s="159" t="s">
        <v>15</v>
      </c>
    </row>
    <row r="420" spans="1:20" s="19" customFormat="1" ht="102.75" customHeight="1" x14ac:dyDescent="0.3">
      <c r="A420" s="625">
        <v>1</v>
      </c>
      <c r="B420" s="512" t="s">
        <v>372</v>
      </c>
      <c r="C420" s="512" t="s">
        <v>373</v>
      </c>
      <c r="D420" s="513" t="s">
        <v>217</v>
      </c>
      <c r="E420" s="514" t="s">
        <v>248</v>
      </c>
      <c r="F420" s="515"/>
      <c r="G420" s="516">
        <f>2023-E420</f>
        <v>10</v>
      </c>
      <c r="H420" s="517" t="s">
        <v>95</v>
      </c>
      <c r="I420" s="518">
        <f>(1*1*0.1)*6</f>
        <v>0.60000000000000009</v>
      </c>
      <c r="J420" s="519" t="s">
        <v>96</v>
      </c>
      <c r="K420" s="626">
        <f>+I420-J420</f>
        <v>0.60000000000000009</v>
      </c>
      <c r="L420" s="520">
        <v>0.99199999999999999</v>
      </c>
      <c r="M420" s="563">
        <v>6270000</v>
      </c>
      <c r="N420" s="522">
        <v>0.6</v>
      </c>
      <c r="O420" s="541">
        <f t="shared" ref="O420" si="52">M420</f>
        <v>6270000</v>
      </c>
      <c r="P420" s="523">
        <f>+ROUND((K420*L420*O420*N420),-3)</f>
        <v>2239000</v>
      </c>
      <c r="Q420" s="521" t="s">
        <v>97</v>
      </c>
      <c r="R420" s="521" t="s">
        <v>97</v>
      </c>
      <c r="S420" s="523">
        <f>P420</f>
        <v>2239000</v>
      </c>
      <c r="T420" s="517" t="s">
        <v>904</v>
      </c>
    </row>
    <row r="421" spans="1:20" s="19" customFormat="1" ht="102.75" customHeight="1" x14ac:dyDescent="0.3">
      <c r="A421" s="625">
        <v>2</v>
      </c>
      <c r="B421" s="512" t="s">
        <v>203</v>
      </c>
      <c r="C421" s="512" t="s">
        <v>374</v>
      </c>
      <c r="D421" s="513" t="s">
        <v>241</v>
      </c>
      <c r="E421" s="514" t="s">
        <v>248</v>
      </c>
      <c r="F421" s="515"/>
      <c r="G421" s="516">
        <f>2023-E421</f>
        <v>10</v>
      </c>
      <c r="H421" s="517" t="s">
        <v>95</v>
      </c>
      <c r="I421" s="518">
        <f>1*6</f>
        <v>6</v>
      </c>
      <c r="J421" s="519" t="s">
        <v>96</v>
      </c>
      <c r="K421" s="626">
        <f>+I421-J421</f>
        <v>6</v>
      </c>
      <c r="L421" s="520">
        <v>0.99199999999999999</v>
      </c>
      <c r="M421" s="521">
        <v>638000</v>
      </c>
      <c r="N421" s="522">
        <v>0.6</v>
      </c>
      <c r="O421" s="521">
        <v>268000</v>
      </c>
      <c r="P421" s="523">
        <f>+ROUND((K421*L421*O421*N421),-3)</f>
        <v>957000</v>
      </c>
      <c r="Q421" s="521" t="s">
        <v>97</v>
      </c>
      <c r="R421" s="521" t="s">
        <v>97</v>
      </c>
      <c r="S421" s="523">
        <f>P421</f>
        <v>957000</v>
      </c>
      <c r="T421" s="517" t="s">
        <v>908</v>
      </c>
    </row>
    <row r="422" spans="1:20" s="19" customFormat="1" ht="36" customHeight="1" x14ac:dyDescent="0.3">
      <c r="A422" s="165"/>
      <c r="B422" s="166" t="s">
        <v>55</v>
      </c>
      <c r="C422" s="166"/>
      <c r="D422" s="159"/>
      <c r="E422" s="159"/>
      <c r="F422" s="167"/>
      <c r="G422" s="167"/>
      <c r="H422" s="167"/>
      <c r="I422" s="168"/>
      <c r="J422" s="167"/>
      <c r="K422" s="167"/>
      <c r="L422" s="167"/>
      <c r="M422" s="167"/>
      <c r="N422" s="167"/>
      <c r="O422" s="167"/>
      <c r="P422" s="167"/>
      <c r="Q422" s="167"/>
      <c r="R422" s="167"/>
      <c r="S422" s="45">
        <f>SUM(S420:S421)</f>
        <v>3196000</v>
      </c>
      <c r="T422" s="167"/>
    </row>
    <row r="423" spans="1:20" s="19" customFormat="1" ht="36" customHeight="1" x14ac:dyDescent="0.3">
      <c r="A423" s="171" t="s">
        <v>131</v>
      </c>
      <c r="B423" s="172" t="s">
        <v>132</v>
      </c>
      <c r="C423" s="173"/>
      <c r="D423" s="466"/>
      <c r="E423" s="466"/>
      <c r="F423" s="466"/>
      <c r="G423" s="466"/>
      <c r="H423" s="466"/>
      <c r="I423" s="467"/>
      <c r="J423" s="466"/>
      <c r="K423" s="468"/>
      <c r="L423" s="468"/>
      <c r="M423" s="466"/>
      <c r="N423" s="468"/>
      <c r="O423" s="466"/>
      <c r="P423" s="469"/>
      <c r="Q423" s="466"/>
      <c r="R423" s="466"/>
      <c r="S423" s="470"/>
      <c r="T423" s="466"/>
    </row>
    <row r="424" spans="1:20" s="19" customFormat="1" ht="36" customHeight="1" x14ac:dyDescent="0.3">
      <c r="A424" s="171" t="s">
        <v>133</v>
      </c>
      <c r="B424" s="172" t="s">
        <v>134</v>
      </c>
      <c r="C424" s="174"/>
      <c r="D424" s="174"/>
      <c r="E424" s="174"/>
      <c r="F424" s="174"/>
      <c r="G424" s="174"/>
      <c r="H424" s="174"/>
      <c r="I424" s="175"/>
      <c r="J424" s="174"/>
      <c r="K424" s="176"/>
      <c r="L424" s="176"/>
      <c r="M424" s="174"/>
      <c r="N424" s="176"/>
      <c r="O424" s="174"/>
      <c r="P424" s="177"/>
      <c r="Q424" s="174"/>
      <c r="R424" s="174"/>
      <c r="S424" s="174"/>
      <c r="T424" s="174"/>
    </row>
    <row r="425" spans="1:20" s="19" customFormat="1" ht="36" customHeight="1" x14ac:dyDescent="0.3">
      <c r="A425" s="178" t="s">
        <v>135</v>
      </c>
      <c r="B425" s="756" t="s">
        <v>375</v>
      </c>
      <c r="C425" s="757"/>
      <c r="D425" s="757"/>
      <c r="E425" s="757"/>
      <c r="F425" s="757"/>
      <c r="G425" s="757"/>
      <c r="H425" s="757"/>
      <c r="I425" s="757"/>
      <c r="J425" s="757"/>
      <c r="K425" s="757"/>
      <c r="L425" s="757"/>
      <c r="M425" s="757"/>
      <c r="N425" s="757"/>
      <c r="O425" s="757"/>
      <c r="P425" s="757"/>
      <c r="Q425" s="757"/>
      <c r="R425" s="758"/>
      <c r="S425" s="29">
        <f>+S422</f>
        <v>3196000</v>
      </c>
      <c r="T425" s="174" t="s">
        <v>137</v>
      </c>
    </row>
    <row r="426" spans="1:20" ht="27.75" customHeight="1" x14ac:dyDescent="0.3">
      <c r="A426" s="474"/>
      <c r="B426" s="829" t="s">
        <v>376</v>
      </c>
      <c r="C426" s="773"/>
      <c r="D426" s="773"/>
      <c r="E426" s="773"/>
      <c r="F426" s="773"/>
      <c r="G426" s="773"/>
      <c r="H426" s="773"/>
      <c r="I426" s="773"/>
      <c r="J426" s="773"/>
      <c r="K426" s="773"/>
      <c r="L426" s="773"/>
      <c r="M426" s="773"/>
      <c r="N426" s="773"/>
      <c r="O426" s="773"/>
      <c r="P426" s="773"/>
      <c r="Q426" s="773"/>
      <c r="R426" s="773"/>
      <c r="S426" s="773"/>
      <c r="T426" s="474"/>
    </row>
    <row r="427" spans="1:20" ht="18.75" customHeight="1" x14ac:dyDescent="0.3">
      <c r="A427" s="474"/>
      <c r="B427" s="772" t="s">
        <v>1</v>
      </c>
      <c r="C427" s="773"/>
      <c r="D427" s="773"/>
      <c r="E427" s="773"/>
      <c r="F427" s="773"/>
      <c r="G427" s="773"/>
      <c r="H427" s="773"/>
      <c r="I427" s="773"/>
      <c r="J427" s="773"/>
      <c r="K427" s="773"/>
      <c r="L427" s="773"/>
      <c r="M427" s="773"/>
      <c r="N427" s="773"/>
      <c r="O427" s="773"/>
      <c r="P427" s="773"/>
      <c r="Q427" s="773"/>
      <c r="R427" s="773"/>
      <c r="S427" s="773"/>
      <c r="T427" s="474"/>
    </row>
    <row r="428" spans="1:20" ht="18.75" customHeight="1" x14ac:dyDescent="0.3">
      <c r="A428" s="474"/>
      <c r="B428" s="772" t="s">
        <v>2</v>
      </c>
      <c r="C428" s="773"/>
      <c r="D428" s="773"/>
      <c r="E428" s="773"/>
      <c r="F428" s="773"/>
      <c r="G428" s="773"/>
      <c r="H428" s="773"/>
      <c r="I428" s="773"/>
      <c r="J428" s="773"/>
      <c r="K428" s="773"/>
      <c r="L428" s="773"/>
      <c r="M428" s="773"/>
      <c r="N428" s="773"/>
      <c r="O428" s="773"/>
      <c r="P428" s="773"/>
      <c r="Q428" s="773"/>
      <c r="R428" s="773"/>
      <c r="S428" s="773"/>
      <c r="T428" s="474"/>
    </row>
    <row r="429" spans="1:20" ht="26.25" customHeight="1" x14ac:dyDescent="0.3">
      <c r="A429" s="475"/>
      <c r="B429" s="809" t="str">
        <f>B404</f>
        <v>(Kèm theo Quyết định số     /QĐ-UBND ngày     tháng     năm 2026 của Ủy ban nhân dân xã Thuận An)</v>
      </c>
      <c r="C429" s="773"/>
      <c r="D429" s="773"/>
      <c r="E429" s="773"/>
      <c r="F429" s="773"/>
      <c r="G429" s="773"/>
      <c r="H429" s="773"/>
      <c r="I429" s="773"/>
      <c r="J429" s="773"/>
      <c r="K429" s="773"/>
      <c r="L429" s="773"/>
      <c r="M429" s="773"/>
      <c r="N429" s="773"/>
      <c r="O429" s="773"/>
      <c r="P429" s="773"/>
      <c r="Q429" s="773"/>
      <c r="R429" s="773"/>
      <c r="S429" s="773"/>
      <c r="T429" s="475"/>
    </row>
    <row r="430" spans="1:20" s="19" customFormat="1" ht="30" customHeight="1" thickBot="1" x14ac:dyDescent="0.35">
      <c r="A430" s="272" t="s">
        <v>3</v>
      </c>
      <c r="B430" s="273" t="s">
        <v>4</v>
      </c>
      <c r="C430" s="233"/>
      <c r="D430" s="233"/>
      <c r="E430" s="233"/>
      <c r="F430" s="233"/>
      <c r="G430" s="233"/>
      <c r="H430" s="233"/>
      <c r="I430" s="234"/>
      <c r="J430" s="233"/>
      <c r="K430" s="235"/>
      <c r="L430" s="235"/>
      <c r="M430" s="233"/>
      <c r="N430" s="235"/>
      <c r="O430" s="233"/>
      <c r="P430" s="236"/>
      <c r="Q430" s="233"/>
      <c r="R430" s="233"/>
      <c r="S430" s="237"/>
      <c r="T430" s="233"/>
    </row>
    <row r="431" spans="1:20" s="19" customFormat="1" ht="37.5" customHeight="1" x14ac:dyDescent="0.3">
      <c r="A431" s="776" t="s">
        <v>5</v>
      </c>
      <c r="B431" s="778" t="s">
        <v>6</v>
      </c>
      <c r="C431" s="778" t="s">
        <v>7</v>
      </c>
      <c r="D431" s="778" t="s">
        <v>959</v>
      </c>
      <c r="E431" s="777"/>
      <c r="F431" s="777"/>
      <c r="G431" s="778" t="s">
        <v>960</v>
      </c>
      <c r="H431" s="777"/>
      <c r="I431" s="777"/>
      <c r="J431" s="778" t="s">
        <v>961</v>
      </c>
      <c r="K431" s="777"/>
      <c r="L431" s="777"/>
      <c r="M431" s="779" t="s">
        <v>8</v>
      </c>
      <c r="N431" s="779" t="s">
        <v>9</v>
      </c>
      <c r="O431" s="779" t="s">
        <v>10</v>
      </c>
      <c r="P431" s="780" t="s">
        <v>11</v>
      </c>
      <c r="Q431" s="780" t="s">
        <v>12</v>
      </c>
      <c r="R431" s="780" t="s">
        <v>13</v>
      </c>
      <c r="S431" s="778" t="s">
        <v>14</v>
      </c>
      <c r="T431" s="881" t="s">
        <v>15</v>
      </c>
    </row>
    <row r="432" spans="1:20" s="19" customFormat="1" ht="27" customHeight="1" x14ac:dyDescent="0.3">
      <c r="A432" s="777"/>
      <c r="B432" s="777"/>
      <c r="C432" s="777"/>
      <c r="D432" s="778" t="s">
        <v>16</v>
      </c>
      <c r="E432" s="778" t="s">
        <v>17</v>
      </c>
      <c r="F432" s="777"/>
      <c r="G432" s="778" t="s">
        <v>16</v>
      </c>
      <c r="H432" s="778" t="s">
        <v>17</v>
      </c>
      <c r="I432" s="777"/>
      <c r="J432" s="776" t="s">
        <v>18</v>
      </c>
      <c r="K432" s="778" t="s">
        <v>17</v>
      </c>
      <c r="L432" s="777"/>
      <c r="M432" s="777"/>
      <c r="N432" s="777"/>
      <c r="O432" s="777"/>
      <c r="P432" s="777"/>
      <c r="Q432" s="777"/>
      <c r="R432" s="777"/>
      <c r="S432" s="777"/>
      <c r="T432" s="882"/>
    </row>
    <row r="433" spans="1:20" s="19" customFormat="1" ht="51" customHeight="1" x14ac:dyDescent="0.3">
      <c r="A433" s="777"/>
      <c r="B433" s="777"/>
      <c r="C433" s="777"/>
      <c r="D433" s="777"/>
      <c r="E433" s="415" t="s">
        <v>962</v>
      </c>
      <c r="F433" s="415" t="s">
        <v>963</v>
      </c>
      <c r="G433" s="777"/>
      <c r="H433" s="415" t="s">
        <v>962</v>
      </c>
      <c r="I433" s="189" t="s">
        <v>963</v>
      </c>
      <c r="J433" s="777"/>
      <c r="K433" s="415" t="s">
        <v>962</v>
      </c>
      <c r="L433" s="415" t="s">
        <v>963</v>
      </c>
      <c r="M433" s="777"/>
      <c r="N433" s="777"/>
      <c r="O433" s="777"/>
      <c r="P433" s="777"/>
      <c r="Q433" s="777"/>
      <c r="R433" s="777"/>
      <c r="S433" s="777"/>
      <c r="T433" s="883"/>
    </row>
    <row r="434" spans="1:20" s="19" customFormat="1" ht="123" customHeight="1" x14ac:dyDescent="0.3">
      <c r="A434" s="298" t="s">
        <v>128</v>
      </c>
      <c r="B434" s="190" t="s">
        <v>377</v>
      </c>
      <c r="C434" s="424" t="s">
        <v>378</v>
      </c>
      <c r="D434" s="191">
        <f>E434+F434</f>
        <v>1476</v>
      </c>
      <c r="E434" s="191">
        <v>90</v>
      </c>
      <c r="F434" s="191">
        <v>1386</v>
      </c>
      <c r="G434" s="191">
        <f>+H434+I434</f>
        <v>186</v>
      </c>
      <c r="H434" s="191">
        <v>90</v>
      </c>
      <c r="I434" s="192">
        <v>96</v>
      </c>
      <c r="J434" s="191">
        <v>35.5</v>
      </c>
      <c r="K434" s="191">
        <v>0</v>
      </c>
      <c r="L434" s="191">
        <f>+J434-K434</f>
        <v>35.5</v>
      </c>
      <c r="M434" s="193">
        <v>0</v>
      </c>
      <c r="N434" s="193">
        <f>L434/F434</f>
        <v>2.5613275613275612E-2</v>
      </c>
      <c r="O434" s="194" t="s">
        <v>21</v>
      </c>
      <c r="P434" s="195" t="s">
        <v>197</v>
      </c>
      <c r="Q434" s="195" t="s">
        <v>23</v>
      </c>
      <c r="R434" s="248" t="s">
        <v>24</v>
      </c>
      <c r="S434" s="248" t="s">
        <v>21</v>
      </c>
      <c r="T434" s="348" t="s">
        <v>379</v>
      </c>
    </row>
    <row r="435" spans="1:20" s="19" customFormat="1" ht="19.5" x14ac:dyDescent="0.3">
      <c r="A435" s="299" t="s">
        <v>27</v>
      </c>
      <c r="B435" s="300" t="s">
        <v>777</v>
      </c>
      <c r="C435" s="301"/>
      <c r="D435" s="301"/>
      <c r="E435" s="301"/>
      <c r="F435" s="301"/>
      <c r="G435" s="301"/>
      <c r="H435" s="301"/>
      <c r="I435" s="302"/>
      <c r="J435" s="301"/>
      <c r="K435" s="303"/>
      <c r="L435" s="303"/>
      <c r="M435" s="301"/>
      <c r="N435" s="303"/>
      <c r="O435" s="301"/>
      <c r="P435" s="304"/>
      <c r="Q435" s="301"/>
      <c r="R435" s="301"/>
      <c r="S435" s="301"/>
      <c r="T435" s="233"/>
    </row>
    <row r="436" spans="1:20" s="19" customFormat="1" ht="77.25" customHeight="1" x14ac:dyDescent="0.3">
      <c r="A436" s="760" t="s">
        <v>5</v>
      </c>
      <c r="B436" s="761" t="s">
        <v>663</v>
      </c>
      <c r="C436" s="761" t="s">
        <v>664</v>
      </c>
      <c r="D436" s="761" t="s">
        <v>665</v>
      </c>
      <c r="E436" s="761"/>
      <c r="F436" s="761"/>
      <c r="G436" s="761"/>
      <c r="H436" s="761" t="s">
        <v>666</v>
      </c>
      <c r="I436" s="760" t="s">
        <v>667</v>
      </c>
      <c r="J436" s="760"/>
      <c r="K436" s="760"/>
      <c r="L436" s="762" t="s">
        <v>668</v>
      </c>
      <c r="M436" s="762"/>
      <c r="N436" s="761" t="s">
        <v>43</v>
      </c>
      <c r="O436" s="761" t="s">
        <v>669</v>
      </c>
      <c r="P436" s="763" t="s">
        <v>670</v>
      </c>
      <c r="Q436" s="763" t="s">
        <v>42</v>
      </c>
      <c r="R436" s="761" t="s">
        <v>671</v>
      </c>
      <c r="S436" s="761" t="s">
        <v>44</v>
      </c>
      <c r="T436" s="879" t="s">
        <v>15</v>
      </c>
    </row>
    <row r="437" spans="1:20" s="19" customFormat="1" ht="78.75" customHeight="1" x14ac:dyDescent="0.3">
      <c r="A437" s="760"/>
      <c r="B437" s="761"/>
      <c r="C437" s="761"/>
      <c r="D437" s="407" t="s">
        <v>672</v>
      </c>
      <c r="E437" s="407" t="s">
        <v>673</v>
      </c>
      <c r="F437" s="407" t="s">
        <v>759</v>
      </c>
      <c r="G437" s="407" t="s">
        <v>17</v>
      </c>
      <c r="H437" s="761"/>
      <c r="I437" s="420" t="s">
        <v>674</v>
      </c>
      <c r="J437" s="418" t="s">
        <v>675</v>
      </c>
      <c r="K437" s="419" t="s">
        <v>676</v>
      </c>
      <c r="L437" s="419" t="s">
        <v>677</v>
      </c>
      <c r="M437" s="134" t="s">
        <v>678</v>
      </c>
      <c r="N437" s="761"/>
      <c r="O437" s="761"/>
      <c r="P437" s="763"/>
      <c r="Q437" s="763"/>
      <c r="R437" s="761"/>
      <c r="S437" s="761"/>
      <c r="T437" s="880"/>
    </row>
    <row r="438" spans="1:20" s="19" customFormat="1" ht="100.5" customHeight="1" x14ac:dyDescent="0.3">
      <c r="A438" s="305" t="s">
        <v>19</v>
      </c>
      <c r="B438" s="227" t="s">
        <v>679</v>
      </c>
      <c r="C438" s="228" t="s">
        <v>792</v>
      </c>
      <c r="D438" s="418" t="s">
        <v>19</v>
      </c>
      <c r="E438" s="418" t="s">
        <v>680</v>
      </c>
      <c r="F438" s="419">
        <v>35.5</v>
      </c>
      <c r="G438" s="420" t="s">
        <v>681</v>
      </c>
      <c r="H438" s="420" t="s">
        <v>793</v>
      </c>
      <c r="I438" s="420">
        <v>35.5</v>
      </c>
      <c r="J438" s="419">
        <v>0</v>
      </c>
      <c r="K438" s="419">
        <f>I438+J438</f>
        <v>35.5</v>
      </c>
      <c r="L438" s="419">
        <v>0</v>
      </c>
      <c r="M438" s="134"/>
      <c r="N438" s="260">
        <v>1</v>
      </c>
      <c r="O438" s="423">
        <v>1</v>
      </c>
      <c r="P438" s="231">
        <v>823000</v>
      </c>
      <c r="Q438" s="231">
        <f>+ROUND((P438*N438*K438),-3)</f>
        <v>29217000</v>
      </c>
      <c r="R438" s="231">
        <f>-ROUND((38000*J438*0.5%),-3)</f>
        <v>0</v>
      </c>
      <c r="S438" s="408">
        <f>+Q438+R438</f>
        <v>29217000</v>
      </c>
      <c r="T438" s="349" t="s">
        <v>833</v>
      </c>
    </row>
    <row r="439" spans="1:20" s="19" customFormat="1" ht="19.5" x14ac:dyDescent="0.3">
      <c r="A439" s="272" t="s">
        <v>28</v>
      </c>
      <c r="B439" s="273" t="s">
        <v>141</v>
      </c>
      <c r="C439" s="233"/>
      <c r="D439" s="233"/>
      <c r="E439" s="233"/>
      <c r="F439" s="233"/>
      <c r="G439" s="233"/>
      <c r="H439" s="233"/>
      <c r="I439" s="234"/>
      <c r="J439" s="233"/>
      <c r="K439" s="235"/>
      <c r="L439" s="235"/>
      <c r="M439" s="233"/>
      <c r="N439" s="235"/>
      <c r="O439" s="233"/>
      <c r="P439" s="236"/>
      <c r="Q439" s="237"/>
      <c r="R439" s="237"/>
      <c r="S439" s="203">
        <f>S448</f>
        <v>2873000</v>
      </c>
      <c r="T439" s="233"/>
    </row>
    <row r="440" spans="1:20" s="19" customFormat="1" ht="54.75" customHeight="1" x14ac:dyDescent="0.3">
      <c r="A440" s="800" t="s">
        <v>5</v>
      </c>
      <c r="B440" s="802" t="s">
        <v>30</v>
      </c>
      <c r="C440" s="802" t="s">
        <v>31</v>
      </c>
      <c r="D440" s="802" t="s">
        <v>32</v>
      </c>
      <c r="E440" s="803" t="s">
        <v>33</v>
      </c>
      <c r="F440" s="758"/>
      <c r="G440" s="802" t="s">
        <v>34</v>
      </c>
      <c r="H440" s="802" t="s">
        <v>35</v>
      </c>
      <c r="I440" s="804" t="s">
        <v>36</v>
      </c>
      <c r="J440" s="758"/>
      <c r="K440" s="769" t="s">
        <v>37</v>
      </c>
      <c r="L440" s="769" t="s">
        <v>38</v>
      </c>
      <c r="M440" s="805" t="s">
        <v>39</v>
      </c>
      <c r="N440" s="802" t="s">
        <v>839</v>
      </c>
      <c r="O440" s="802" t="s">
        <v>967</v>
      </c>
      <c r="P440" s="806" t="s">
        <v>41</v>
      </c>
      <c r="Q440" s="806" t="s">
        <v>42</v>
      </c>
      <c r="R440" s="802" t="s">
        <v>43</v>
      </c>
      <c r="S440" s="802" t="s">
        <v>44</v>
      </c>
      <c r="T440" s="807" t="s">
        <v>15</v>
      </c>
    </row>
    <row r="441" spans="1:20" s="19" customFormat="1" ht="57.75" customHeight="1" x14ac:dyDescent="0.3">
      <c r="A441" s="801"/>
      <c r="B441" s="766"/>
      <c r="C441" s="766"/>
      <c r="D441" s="766"/>
      <c r="E441" s="167" t="s">
        <v>45</v>
      </c>
      <c r="F441" s="167" t="s">
        <v>46</v>
      </c>
      <c r="G441" s="766"/>
      <c r="H441" s="766"/>
      <c r="I441" s="140" t="s">
        <v>47</v>
      </c>
      <c r="J441" s="143" t="s">
        <v>48</v>
      </c>
      <c r="K441" s="766"/>
      <c r="L441" s="766"/>
      <c r="M441" s="766"/>
      <c r="N441" s="766"/>
      <c r="O441" s="766"/>
      <c r="P441" s="766"/>
      <c r="Q441" s="766"/>
      <c r="R441" s="766"/>
      <c r="S441" s="766"/>
      <c r="T441" s="808"/>
    </row>
    <row r="442" spans="1:20" s="19" customFormat="1" ht="18.75" x14ac:dyDescent="0.3">
      <c r="A442" s="147"/>
      <c r="B442" s="146" t="s">
        <v>835</v>
      </c>
      <c r="C442" s="148"/>
      <c r="D442" s="147"/>
      <c r="E442" s="147"/>
      <c r="F442" s="147"/>
      <c r="G442" s="149"/>
      <c r="H442" s="149"/>
      <c r="I442" s="150"/>
      <c r="J442" s="149"/>
      <c r="K442" s="147"/>
      <c r="L442" s="151"/>
      <c r="M442" s="152"/>
      <c r="N442" s="152"/>
      <c r="O442" s="153"/>
      <c r="P442" s="151"/>
      <c r="Q442" s="154"/>
      <c r="R442" s="154"/>
      <c r="S442" s="154">
        <f>SUM(S443)</f>
        <v>1915000</v>
      </c>
      <c r="T442" s="147"/>
    </row>
    <row r="443" spans="1:20" s="19" customFormat="1" ht="48.75" customHeight="1" x14ac:dyDescent="0.3">
      <c r="A443" s="136" t="s">
        <v>19</v>
      </c>
      <c r="B443" s="137" t="s">
        <v>380</v>
      </c>
      <c r="C443" s="138" t="s">
        <v>381</v>
      </c>
      <c r="D443" s="52" t="s">
        <v>51</v>
      </c>
      <c r="E443" s="138" t="s">
        <v>27</v>
      </c>
      <c r="F443" s="139" t="s">
        <v>52</v>
      </c>
      <c r="G443" s="138" t="s">
        <v>146</v>
      </c>
      <c r="H443" s="138" t="s">
        <v>21</v>
      </c>
      <c r="I443" s="140" t="s">
        <v>147</v>
      </c>
      <c r="J443" s="141">
        <f>2026-I443-4</f>
        <v>22</v>
      </c>
      <c r="K443" s="142">
        <v>2</v>
      </c>
      <c r="L443" s="142">
        <f>K443</f>
        <v>2</v>
      </c>
      <c r="M443" s="52" t="s">
        <v>54</v>
      </c>
      <c r="N443" s="143">
        <f>10000/278</f>
        <v>35.97122302158273</v>
      </c>
      <c r="O443" s="143">
        <f>N443*L443</f>
        <v>71.942446043165461</v>
      </c>
      <c r="P443" s="144">
        <v>957500</v>
      </c>
      <c r="Q443" s="144">
        <f>+ROUND((L443*P443),-3)</f>
        <v>1915000</v>
      </c>
      <c r="R443" s="145">
        <v>1</v>
      </c>
      <c r="S443" s="144">
        <f>+Q443*R443</f>
        <v>1915000</v>
      </c>
      <c r="T443" s="52" t="s">
        <v>1043</v>
      </c>
    </row>
    <row r="444" spans="1:20" s="19" customFormat="1" ht="40.5" customHeight="1" x14ac:dyDescent="0.3">
      <c r="A444" s="147" t="s">
        <v>836</v>
      </c>
      <c r="B444" s="287" t="s">
        <v>837</v>
      </c>
      <c r="C444" s="288"/>
      <c r="D444" s="289"/>
      <c r="E444" s="289"/>
      <c r="F444" s="289"/>
      <c r="G444" s="290"/>
      <c r="H444" s="290"/>
      <c r="I444" s="291"/>
      <c r="J444" s="290"/>
      <c r="K444" s="292"/>
      <c r="L444" s="293"/>
      <c r="M444" s="293"/>
      <c r="N444" s="293"/>
      <c r="O444" s="294"/>
      <c r="P444" s="293"/>
      <c r="Q444" s="295"/>
      <c r="R444" s="295"/>
      <c r="S444" s="154">
        <f>+ROUND((S442*50%),-3)</f>
        <v>958000</v>
      </c>
      <c r="T444" s="289"/>
    </row>
    <row r="445" spans="1:20" s="19" customFormat="1" ht="18.75" x14ac:dyDescent="0.3">
      <c r="A445" s="289"/>
      <c r="B445" s="146" t="s">
        <v>838</v>
      </c>
      <c r="C445" s="296"/>
      <c r="D445" s="289"/>
      <c r="E445" s="289"/>
      <c r="F445" s="289"/>
      <c r="G445" s="290"/>
      <c r="H445" s="290"/>
      <c r="I445" s="291"/>
      <c r="J445" s="290"/>
      <c r="K445" s="292"/>
      <c r="L445" s="293"/>
      <c r="M445" s="293"/>
      <c r="N445" s="293"/>
      <c r="O445" s="294"/>
      <c r="P445" s="293"/>
      <c r="Q445" s="295"/>
      <c r="R445" s="295"/>
      <c r="S445" s="154">
        <f>SUM(S446:S447)</f>
        <v>6953000</v>
      </c>
      <c r="T445" s="289"/>
    </row>
    <row r="446" spans="1:20" s="19" customFormat="1" ht="48.75" customHeight="1" x14ac:dyDescent="0.3">
      <c r="A446" s="136" t="s">
        <v>98</v>
      </c>
      <c r="B446" s="137" t="s">
        <v>383</v>
      </c>
      <c r="C446" s="138" t="s">
        <v>247</v>
      </c>
      <c r="D446" s="52" t="s">
        <v>51</v>
      </c>
      <c r="E446" s="138" t="s">
        <v>27</v>
      </c>
      <c r="F446" s="139" t="s">
        <v>52</v>
      </c>
      <c r="G446" s="138" t="s">
        <v>146</v>
      </c>
      <c r="H446" s="138" t="s">
        <v>21</v>
      </c>
      <c r="I446" s="140" t="s">
        <v>243</v>
      </c>
      <c r="J446" s="141">
        <f>2026-I446-3</f>
        <v>13</v>
      </c>
      <c r="K446" s="142">
        <v>2</v>
      </c>
      <c r="L446" s="142">
        <f>K446</f>
        <v>2</v>
      </c>
      <c r="M446" s="52" t="s">
        <v>54</v>
      </c>
      <c r="N446" s="143">
        <f>10000/208</f>
        <v>48.07692307692308</v>
      </c>
      <c r="O446" s="143">
        <f t="shared" ref="O446:O447" si="53">N446*L446</f>
        <v>96.15384615384616</v>
      </c>
      <c r="P446" s="144">
        <v>3271560</v>
      </c>
      <c r="Q446" s="144">
        <f>+ROUND((L446*P446),-3)</f>
        <v>6543000</v>
      </c>
      <c r="R446" s="145">
        <v>1</v>
      </c>
      <c r="S446" s="144">
        <f>+Q446*R446</f>
        <v>6543000</v>
      </c>
      <c r="T446" s="52" t="s">
        <v>382</v>
      </c>
    </row>
    <row r="447" spans="1:20" s="19" customFormat="1" ht="48.75" customHeight="1" x14ac:dyDescent="0.3">
      <c r="A447" s="136" t="s">
        <v>104</v>
      </c>
      <c r="B447" s="137" t="s">
        <v>384</v>
      </c>
      <c r="C447" s="138" t="s">
        <v>247</v>
      </c>
      <c r="D447" s="52" t="s">
        <v>59</v>
      </c>
      <c r="E447" s="138" t="s">
        <v>27</v>
      </c>
      <c r="F447" s="139" t="s">
        <v>52</v>
      </c>
      <c r="G447" s="138" t="s">
        <v>146</v>
      </c>
      <c r="H447" s="138" t="s">
        <v>21</v>
      </c>
      <c r="I447" s="140" t="s">
        <v>243</v>
      </c>
      <c r="J447" s="141">
        <f>2026-I447-3</f>
        <v>13</v>
      </c>
      <c r="K447" s="142">
        <v>1</v>
      </c>
      <c r="L447" s="142">
        <f>K447</f>
        <v>1</v>
      </c>
      <c r="M447" s="52" t="s">
        <v>54</v>
      </c>
      <c r="N447" s="143">
        <f>10000/1600</f>
        <v>6.25</v>
      </c>
      <c r="O447" s="143">
        <f t="shared" si="53"/>
        <v>6.25</v>
      </c>
      <c r="P447" s="144">
        <v>409920</v>
      </c>
      <c r="Q447" s="144">
        <f>+ROUND((L447*P447),-3)</f>
        <v>410000</v>
      </c>
      <c r="R447" s="145">
        <v>1</v>
      </c>
      <c r="S447" s="144">
        <f>+Q447*R447</f>
        <v>410000</v>
      </c>
      <c r="T447" s="52" t="s">
        <v>382</v>
      </c>
    </row>
    <row r="448" spans="1:20" s="19" customFormat="1" ht="36.75" customHeight="1" x14ac:dyDescent="0.3">
      <c r="A448" s="239"/>
      <c r="B448" s="166" t="s">
        <v>55</v>
      </c>
      <c r="C448" s="166"/>
      <c r="D448" s="240"/>
      <c r="E448" s="159"/>
      <c r="F448" s="167"/>
      <c r="G448" s="167"/>
      <c r="H448" s="167"/>
      <c r="I448" s="168"/>
      <c r="J448" s="167"/>
      <c r="K448" s="167"/>
      <c r="L448" s="167"/>
      <c r="M448" s="167"/>
      <c r="N448" s="167"/>
      <c r="O448" s="167"/>
      <c r="P448" s="167"/>
      <c r="Q448" s="167"/>
      <c r="R448" s="45"/>
      <c r="S448" s="45">
        <f>S442+S444</f>
        <v>2873000</v>
      </c>
      <c r="T448" s="185"/>
    </row>
    <row r="449" spans="1:20" s="19" customFormat="1" ht="19.5" x14ac:dyDescent="0.3">
      <c r="A449" s="272" t="s">
        <v>56</v>
      </c>
      <c r="B449" s="273" t="s">
        <v>201</v>
      </c>
      <c r="C449" s="233"/>
      <c r="D449" s="233"/>
      <c r="E449" s="233"/>
      <c r="F449" s="233"/>
      <c r="G449" s="233"/>
      <c r="H449" s="233"/>
      <c r="I449" s="234"/>
      <c r="J449" s="233"/>
      <c r="K449" s="235"/>
      <c r="L449" s="235"/>
      <c r="M449" s="233"/>
      <c r="N449" s="235"/>
      <c r="O449" s="233"/>
      <c r="P449" s="236"/>
      <c r="Q449" s="233"/>
      <c r="R449" s="233"/>
      <c r="S449" s="237">
        <f>S454</f>
        <v>1755000</v>
      </c>
      <c r="T449" s="233"/>
    </row>
    <row r="450" spans="1:20" s="19" customFormat="1" ht="16.5" customHeight="1" x14ac:dyDescent="0.3">
      <c r="A450" s="765"/>
      <c r="B450" s="767" t="s">
        <v>51</v>
      </c>
      <c r="C450" s="767" t="s">
        <v>58</v>
      </c>
      <c r="D450" s="768" t="s">
        <v>59</v>
      </c>
      <c r="E450" s="769" t="s">
        <v>60</v>
      </c>
      <c r="F450" s="769" t="s">
        <v>61</v>
      </c>
      <c r="G450" s="769" t="s">
        <v>62</v>
      </c>
      <c r="H450" s="769" t="s">
        <v>63</v>
      </c>
      <c r="I450" s="770" t="s">
        <v>64</v>
      </c>
      <c r="J450" s="757"/>
      <c r="K450" s="757"/>
      <c r="L450" s="757"/>
      <c r="M450" s="758"/>
      <c r="N450" s="771" t="s">
        <v>3</v>
      </c>
      <c r="O450" s="771" t="s">
        <v>65</v>
      </c>
      <c r="P450" s="771" t="s">
        <v>66</v>
      </c>
      <c r="Q450" s="771" t="s">
        <v>67</v>
      </c>
      <c r="R450" s="767" t="s">
        <v>68</v>
      </c>
      <c r="S450" s="767" t="s">
        <v>69</v>
      </c>
      <c r="T450" s="767" t="s">
        <v>70</v>
      </c>
    </row>
    <row r="451" spans="1:20" s="19" customFormat="1" ht="15.75" customHeight="1" x14ac:dyDescent="0.3">
      <c r="A451" s="766"/>
      <c r="B451" s="766"/>
      <c r="C451" s="766"/>
      <c r="D451" s="766"/>
      <c r="E451" s="766"/>
      <c r="F451" s="766"/>
      <c r="G451" s="766"/>
      <c r="H451" s="766"/>
      <c r="I451" s="168" t="s">
        <v>71</v>
      </c>
      <c r="J451" s="159" t="s">
        <v>72</v>
      </c>
      <c r="K451" s="159" t="s">
        <v>73</v>
      </c>
      <c r="L451" s="45" t="s">
        <v>74</v>
      </c>
      <c r="M451" s="204" t="s">
        <v>75</v>
      </c>
      <c r="N451" s="766"/>
      <c r="O451" s="766"/>
      <c r="P451" s="766"/>
      <c r="Q451" s="766"/>
      <c r="R451" s="766"/>
      <c r="S451" s="766"/>
      <c r="T451" s="766"/>
    </row>
    <row r="452" spans="1:20" s="19" customFormat="1" ht="93.75" customHeight="1" x14ac:dyDescent="0.3">
      <c r="A452" s="196" t="s">
        <v>5</v>
      </c>
      <c r="B452" s="49" t="s">
        <v>76</v>
      </c>
      <c r="C452" s="49" t="s">
        <v>77</v>
      </c>
      <c r="D452" s="49" t="s">
        <v>78</v>
      </c>
      <c r="E452" s="159" t="s">
        <v>79</v>
      </c>
      <c r="F452" s="159" t="s">
        <v>80</v>
      </c>
      <c r="G452" s="159" t="s">
        <v>81</v>
      </c>
      <c r="H452" s="45" t="s">
        <v>82</v>
      </c>
      <c r="I452" s="168" t="s">
        <v>83</v>
      </c>
      <c r="J452" s="242" t="s">
        <v>84</v>
      </c>
      <c r="K452" s="242" t="s">
        <v>85</v>
      </c>
      <c r="L452" s="49" t="s">
        <v>86</v>
      </c>
      <c r="M452" s="204" t="s">
        <v>87</v>
      </c>
      <c r="N452" s="159" t="s">
        <v>88</v>
      </c>
      <c r="O452" s="159" t="s">
        <v>89</v>
      </c>
      <c r="P452" s="159" t="s">
        <v>90</v>
      </c>
      <c r="Q452" s="159" t="s">
        <v>91</v>
      </c>
      <c r="R452" s="159" t="s">
        <v>92</v>
      </c>
      <c r="S452" s="159" t="s">
        <v>964</v>
      </c>
      <c r="T452" s="159" t="s">
        <v>15</v>
      </c>
    </row>
    <row r="453" spans="1:20" s="19" customFormat="1" ht="69" customHeight="1" x14ac:dyDescent="0.3">
      <c r="A453" s="155">
        <v>1</v>
      </c>
      <c r="B453" s="156" t="s">
        <v>93</v>
      </c>
      <c r="C453" s="156" t="s">
        <v>385</v>
      </c>
      <c r="D453" s="157" t="s">
        <v>957</v>
      </c>
      <c r="E453" s="158" t="s">
        <v>147</v>
      </c>
      <c r="F453" s="159"/>
      <c r="G453" s="141">
        <f>2023-E453</f>
        <v>23</v>
      </c>
      <c r="H453" s="138" t="s">
        <v>95</v>
      </c>
      <c r="I453" s="160">
        <f>11*1.5</f>
        <v>16.5</v>
      </c>
      <c r="J453" s="140" t="s">
        <v>96</v>
      </c>
      <c r="K453" s="138">
        <f>+I453-J453</f>
        <v>16.5</v>
      </c>
      <c r="L453" s="161">
        <v>0.99199999999999999</v>
      </c>
      <c r="M453" s="144">
        <v>134000</v>
      </c>
      <c r="N453" s="145">
        <v>0.8</v>
      </c>
      <c r="O453" s="144">
        <f>+M453</f>
        <v>134000</v>
      </c>
      <c r="P453" s="45">
        <f>+ROUND((K453*L453*O453*N453),-3)</f>
        <v>1755000</v>
      </c>
      <c r="Q453" s="144" t="s">
        <v>97</v>
      </c>
      <c r="R453" s="144" t="s">
        <v>97</v>
      </c>
      <c r="S453" s="45">
        <f>P453</f>
        <v>1755000</v>
      </c>
      <c r="T453" s="138" t="s">
        <v>386</v>
      </c>
    </row>
    <row r="454" spans="1:20" s="19" customFormat="1" ht="36" customHeight="1" x14ac:dyDescent="0.3">
      <c r="A454" s="165"/>
      <c r="B454" s="166" t="s">
        <v>55</v>
      </c>
      <c r="C454" s="166"/>
      <c r="D454" s="159"/>
      <c r="E454" s="159"/>
      <c r="F454" s="167"/>
      <c r="G454" s="167"/>
      <c r="H454" s="167"/>
      <c r="I454" s="168"/>
      <c r="J454" s="167"/>
      <c r="K454" s="167"/>
      <c r="L454" s="167"/>
      <c r="M454" s="167"/>
      <c r="N454" s="167"/>
      <c r="O454" s="167"/>
      <c r="P454" s="167"/>
      <c r="Q454" s="167"/>
      <c r="R454" s="167"/>
      <c r="S454" s="45">
        <f>S453</f>
        <v>1755000</v>
      </c>
      <c r="T454" s="167"/>
    </row>
    <row r="455" spans="1:20" s="19" customFormat="1" ht="36" customHeight="1" x14ac:dyDescent="0.3">
      <c r="A455" s="171" t="s">
        <v>131</v>
      </c>
      <c r="B455" s="172" t="s">
        <v>132</v>
      </c>
      <c r="C455" s="173"/>
      <c r="D455" s="466"/>
      <c r="E455" s="466"/>
      <c r="F455" s="466"/>
      <c r="G455" s="466"/>
      <c r="H455" s="466"/>
      <c r="I455" s="467"/>
      <c r="J455" s="466"/>
      <c r="K455" s="468"/>
      <c r="L455" s="468"/>
      <c r="M455" s="466"/>
      <c r="N455" s="468"/>
      <c r="O455" s="466"/>
      <c r="P455" s="469"/>
      <c r="Q455" s="466"/>
      <c r="R455" s="466"/>
      <c r="S455" s="470"/>
      <c r="T455" s="466"/>
    </row>
    <row r="456" spans="1:20" s="19" customFormat="1" ht="36" customHeight="1" x14ac:dyDescent="0.3">
      <c r="A456" s="171" t="s">
        <v>133</v>
      </c>
      <c r="B456" s="172" t="s">
        <v>134</v>
      </c>
      <c r="C456" s="174"/>
      <c r="D456" s="174"/>
      <c r="E456" s="174"/>
      <c r="F456" s="174"/>
      <c r="G456" s="174"/>
      <c r="H456" s="174"/>
      <c r="I456" s="175"/>
      <c r="J456" s="174"/>
      <c r="K456" s="176"/>
      <c r="L456" s="176"/>
      <c r="M456" s="174"/>
      <c r="N456" s="176"/>
      <c r="O456" s="174"/>
      <c r="P456" s="177"/>
      <c r="Q456" s="174"/>
      <c r="R456" s="174"/>
      <c r="S456" s="174"/>
      <c r="T456" s="174"/>
    </row>
    <row r="457" spans="1:20" s="19" customFormat="1" ht="36" customHeight="1" x14ac:dyDescent="0.3">
      <c r="A457" s="178" t="s">
        <v>135</v>
      </c>
      <c r="B457" s="756" t="s">
        <v>387</v>
      </c>
      <c r="C457" s="757"/>
      <c r="D457" s="757"/>
      <c r="E457" s="757"/>
      <c r="F457" s="757"/>
      <c r="G457" s="757"/>
      <c r="H457" s="757"/>
      <c r="I457" s="757"/>
      <c r="J457" s="757"/>
      <c r="K457" s="757"/>
      <c r="L457" s="757"/>
      <c r="M457" s="757"/>
      <c r="N457" s="757"/>
      <c r="O457" s="757"/>
      <c r="P457" s="757"/>
      <c r="Q457" s="757"/>
      <c r="R457" s="758"/>
      <c r="S457" s="29">
        <f>+S454+S448</f>
        <v>4628000</v>
      </c>
      <c r="T457" s="174" t="s">
        <v>137</v>
      </c>
    </row>
    <row r="458" spans="1:20" ht="21.75" customHeight="1" x14ac:dyDescent="0.3">
      <c r="A458" s="474"/>
      <c r="B458" s="829" t="s">
        <v>388</v>
      </c>
      <c r="C458" s="773"/>
      <c r="D458" s="773"/>
      <c r="E458" s="773"/>
      <c r="F458" s="773"/>
      <c r="G458" s="773"/>
      <c r="H458" s="773"/>
      <c r="I458" s="773"/>
      <c r="J458" s="773"/>
      <c r="K458" s="773"/>
      <c r="L458" s="773"/>
      <c r="M458" s="773"/>
      <c r="N458" s="773"/>
      <c r="O458" s="773"/>
      <c r="P458" s="773"/>
      <c r="Q458" s="773"/>
      <c r="R458" s="773"/>
      <c r="S458" s="773"/>
      <c r="T458" s="474"/>
    </row>
    <row r="459" spans="1:20" ht="18.75" customHeight="1" x14ac:dyDescent="0.3">
      <c r="A459" s="474"/>
      <c r="B459" s="772" t="s">
        <v>1</v>
      </c>
      <c r="C459" s="773"/>
      <c r="D459" s="773"/>
      <c r="E459" s="773"/>
      <c r="F459" s="773"/>
      <c r="G459" s="773"/>
      <c r="H459" s="773"/>
      <c r="I459" s="773"/>
      <c r="J459" s="773"/>
      <c r="K459" s="773"/>
      <c r="L459" s="773"/>
      <c r="M459" s="773"/>
      <c r="N459" s="773"/>
      <c r="O459" s="773"/>
      <c r="P459" s="773"/>
      <c r="Q459" s="773"/>
      <c r="R459" s="773"/>
      <c r="S459" s="773"/>
      <c r="T459" s="474"/>
    </row>
    <row r="460" spans="1:20" ht="18.75" customHeight="1" x14ac:dyDescent="0.3">
      <c r="A460" s="474"/>
      <c r="B460" s="772" t="s">
        <v>2</v>
      </c>
      <c r="C460" s="773"/>
      <c r="D460" s="773"/>
      <c r="E460" s="773"/>
      <c r="F460" s="773"/>
      <c r="G460" s="773"/>
      <c r="H460" s="773"/>
      <c r="I460" s="773"/>
      <c r="J460" s="773"/>
      <c r="K460" s="773"/>
      <c r="L460" s="773"/>
      <c r="M460" s="773"/>
      <c r="N460" s="773"/>
      <c r="O460" s="773"/>
      <c r="P460" s="773"/>
      <c r="Q460" s="773"/>
      <c r="R460" s="773"/>
      <c r="S460" s="773"/>
      <c r="T460" s="474"/>
    </row>
    <row r="461" spans="1:20" ht="18.75" customHeight="1" x14ac:dyDescent="0.35">
      <c r="A461" s="627"/>
      <c r="B461" s="809" t="str">
        <f>B429</f>
        <v>(Kèm theo Quyết định số     /QĐ-UBND ngày     tháng     năm 2026 của Ủy ban nhân dân xã Thuận An)</v>
      </c>
      <c r="C461" s="773"/>
      <c r="D461" s="773"/>
      <c r="E461" s="773"/>
      <c r="F461" s="773"/>
      <c r="G461" s="773"/>
      <c r="H461" s="773"/>
      <c r="I461" s="773"/>
      <c r="J461" s="773"/>
      <c r="K461" s="773"/>
      <c r="L461" s="773"/>
      <c r="M461" s="773"/>
      <c r="N461" s="773"/>
      <c r="O461" s="773"/>
      <c r="P461" s="773"/>
      <c r="Q461" s="773"/>
      <c r="R461" s="773"/>
      <c r="S461" s="773"/>
      <c r="T461" s="627"/>
    </row>
    <row r="462" spans="1:20" s="19" customFormat="1" ht="18.75" customHeight="1" thickBot="1" x14ac:dyDescent="0.35">
      <c r="A462" s="272" t="s">
        <v>3</v>
      </c>
      <c r="B462" s="273" t="s">
        <v>4</v>
      </c>
      <c r="C462" s="233"/>
      <c r="D462" s="233"/>
      <c r="E462" s="233"/>
      <c r="F462" s="233"/>
      <c r="G462" s="233"/>
      <c r="H462" s="233"/>
      <c r="I462" s="234"/>
      <c r="J462" s="233"/>
      <c r="K462" s="235"/>
      <c r="L462" s="235"/>
      <c r="M462" s="233"/>
      <c r="N462" s="235"/>
      <c r="O462" s="233"/>
      <c r="P462" s="236"/>
      <c r="Q462" s="233"/>
      <c r="R462" s="233"/>
      <c r="S462" s="237"/>
      <c r="T462" s="233"/>
    </row>
    <row r="463" spans="1:20" s="19" customFormat="1" ht="37.5" customHeight="1" x14ac:dyDescent="0.3">
      <c r="A463" s="810" t="s">
        <v>5</v>
      </c>
      <c r="B463" s="812" t="s">
        <v>6</v>
      </c>
      <c r="C463" s="814" t="s">
        <v>7</v>
      </c>
      <c r="D463" s="817" t="s">
        <v>959</v>
      </c>
      <c r="E463" s="818"/>
      <c r="F463" s="819"/>
      <c r="G463" s="817" t="s">
        <v>960</v>
      </c>
      <c r="H463" s="818"/>
      <c r="I463" s="819"/>
      <c r="J463" s="817" t="s">
        <v>961</v>
      </c>
      <c r="K463" s="818"/>
      <c r="L463" s="819"/>
      <c r="M463" s="820" t="s">
        <v>8</v>
      </c>
      <c r="N463" s="823" t="s">
        <v>9</v>
      </c>
      <c r="O463" s="823" t="s">
        <v>10</v>
      </c>
      <c r="P463" s="824" t="s">
        <v>11</v>
      </c>
      <c r="Q463" s="824" t="s">
        <v>12</v>
      </c>
      <c r="R463" s="824" t="s">
        <v>13</v>
      </c>
      <c r="S463" s="812" t="s">
        <v>14</v>
      </c>
      <c r="T463" s="825" t="s">
        <v>15</v>
      </c>
    </row>
    <row r="464" spans="1:20" s="19" customFormat="1" ht="30" customHeight="1" x14ac:dyDescent="0.3">
      <c r="A464" s="811"/>
      <c r="B464" s="813"/>
      <c r="C464" s="815"/>
      <c r="D464" s="827" t="s">
        <v>16</v>
      </c>
      <c r="E464" s="803" t="s">
        <v>17</v>
      </c>
      <c r="F464" s="828"/>
      <c r="G464" s="827" t="s">
        <v>16</v>
      </c>
      <c r="H464" s="803" t="s">
        <v>17</v>
      </c>
      <c r="I464" s="828"/>
      <c r="J464" s="800" t="s">
        <v>18</v>
      </c>
      <c r="K464" s="803" t="s">
        <v>17</v>
      </c>
      <c r="L464" s="828"/>
      <c r="M464" s="821"/>
      <c r="N464" s="813"/>
      <c r="O464" s="813"/>
      <c r="P464" s="813"/>
      <c r="Q464" s="813"/>
      <c r="R464" s="813"/>
      <c r="S464" s="813"/>
      <c r="T464" s="826"/>
    </row>
    <row r="465" spans="1:20" s="19" customFormat="1" ht="59.25" x14ac:dyDescent="0.3">
      <c r="A465" s="801"/>
      <c r="B465" s="766"/>
      <c r="C465" s="816"/>
      <c r="D465" s="801"/>
      <c r="E465" s="167" t="s">
        <v>962</v>
      </c>
      <c r="F465" s="185" t="s">
        <v>963</v>
      </c>
      <c r="G465" s="801"/>
      <c r="H465" s="167" t="s">
        <v>962</v>
      </c>
      <c r="I465" s="186" t="s">
        <v>963</v>
      </c>
      <c r="J465" s="801"/>
      <c r="K465" s="167" t="s">
        <v>962</v>
      </c>
      <c r="L465" s="185" t="s">
        <v>963</v>
      </c>
      <c r="M465" s="822"/>
      <c r="N465" s="766"/>
      <c r="O465" s="766"/>
      <c r="P465" s="766"/>
      <c r="Q465" s="766"/>
      <c r="R465" s="766"/>
      <c r="S465" s="766"/>
      <c r="T465" s="808"/>
    </row>
    <row r="466" spans="1:20" s="19" customFormat="1" ht="123" customHeight="1" x14ac:dyDescent="0.3">
      <c r="A466" s="179" t="s">
        <v>389</v>
      </c>
      <c r="B466" s="44" t="s">
        <v>390</v>
      </c>
      <c r="C466" s="49" t="s">
        <v>391</v>
      </c>
      <c r="D466" s="180">
        <f>E466+F466</f>
        <v>270</v>
      </c>
      <c r="E466" s="143">
        <v>90</v>
      </c>
      <c r="F466" s="181">
        <v>180</v>
      </c>
      <c r="G466" s="180">
        <f>+H466+I466</f>
        <v>180</v>
      </c>
      <c r="H466" s="143">
        <v>90</v>
      </c>
      <c r="I466" s="182">
        <v>90</v>
      </c>
      <c r="J466" s="180">
        <v>35.299999999999997</v>
      </c>
      <c r="K466" s="143">
        <v>0</v>
      </c>
      <c r="L466" s="181">
        <f>J466</f>
        <v>35.299999999999997</v>
      </c>
      <c r="M466" s="377">
        <v>0</v>
      </c>
      <c r="N466" s="183">
        <f>L466/F466</f>
        <v>0.1961111111111111</v>
      </c>
      <c r="O466" s="142" t="s">
        <v>21</v>
      </c>
      <c r="P466" s="144" t="s">
        <v>197</v>
      </c>
      <c r="Q466" s="144" t="s">
        <v>23</v>
      </c>
      <c r="R466" s="138" t="s">
        <v>24</v>
      </c>
      <c r="S466" s="138" t="s">
        <v>21</v>
      </c>
      <c r="T466" s="184" t="s">
        <v>392</v>
      </c>
    </row>
    <row r="467" spans="1:20" s="19" customFormat="1" ht="19.5" x14ac:dyDescent="0.3">
      <c r="A467" s="272" t="s">
        <v>27</v>
      </c>
      <c r="B467" s="273" t="s">
        <v>777</v>
      </c>
      <c r="C467" s="233"/>
      <c r="D467" s="233"/>
      <c r="E467" s="233"/>
      <c r="F467" s="233"/>
      <c r="G467" s="233"/>
      <c r="H467" s="233"/>
      <c r="I467" s="234"/>
      <c r="J467" s="233"/>
      <c r="K467" s="235"/>
      <c r="L467" s="235"/>
      <c r="M467" s="233"/>
      <c r="N467" s="235"/>
      <c r="O467" s="233"/>
      <c r="P467" s="236"/>
      <c r="Q467" s="233"/>
      <c r="R467" s="233"/>
      <c r="S467" s="233"/>
      <c r="T467" s="233"/>
    </row>
    <row r="468" spans="1:20" s="19" customFormat="1" ht="72.75" customHeight="1" x14ac:dyDescent="0.3">
      <c r="A468" s="781" t="s">
        <v>5</v>
      </c>
      <c r="B468" s="783" t="s">
        <v>663</v>
      </c>
      <c r="C468" s="783" t="s">
        <v>664</v>
      </c>
      <c r="D468" s="785" t="s">
        <v>665</v>
      </c>
      <c r="E468" s="786"/>
      <c r="F468" s="786"/>
      <c r="G468" s="787"/>
      <c r="H468" s="788" t="s">
        <v>666</v>
      </c>
      <c r="I468" s="790" t="s">
        <v>667</v>
      </c>
      <c r="J468" s="760"/>
      <c r="K468" s="791"/>
      <c r="L468" s="792" t="s">
        <v>668</v>
      </c>
      <c r="M468" s="793"/>
      <c r="N468" s="794" t="s">
        <v>43</v>
      </c>
      <c r="O468" s="783" t="s">
        <v>669</v>
      </c>
      <c r="P468" s="796" t="s">
        <v>670</v>
      </c>
      <c r="Q468" s="796" t="s">
        <v>42</v>
      </c>
      <c r="R468" s="783" t="s">
        <v>671</v>
      </c>
      <c r="S468" s="783" t="s">
        <v>44</v>
      </c>
      <c r="T468" s="798" t="s">
        <v>15</v>
      </c>
    </row>
    <row r="469" spans="1:20" s="19" customFormat="1" ht="84.75" customHeight="1" x14ac:dyDescent="0.3">
      <c r="A469" s="782"/>
      <c r="B469" s="784"/>
      <c r="C469" s="784"/>
      <c r="D469" s="407" t="s">
        <v>672</v>
      </c>
      <c r="E469" s="407" t="s">
        <v>673</v>
      </c>
      <c r="F469" s="407" t="s">
        <v>759</v>
      </c>
      <c r="G469" s="407" t="s">
        <v>17</v>
      </c>
      <c r="H469" s="789"/>
      <c r="I469" s="125" t="s">
        <v>674</v>
      </c>
      <c r="J469" s="418" t="s">
        <v>675</v>
      </c>
      <c r="K469" s="81" t="s">
        <v>676</v>
      </c>
      <c r="L469" s="82" t="s">
        <v>677</v>
      </c>
      <c r="M469" s="83" t="s">
        <v>678</v>
      </c>
      <c r="N469" s="795"/>
      <c r="O469" s="784"/>
      <c r="P469" s="797"/>
      <c r="Q469" s="797"/>
      <c r="R469" s="784"/>
      <c r="S469" s="784"/>
      <c r="T469" s="799"/>
    </row>
    <row r="470" spans="1:20" s="19" customFormat="1" ht="114" customHeight="1" x14ac:dyDescent="0.3">
      <c r="A470" s="226" t="s">
        <v>19</v>
      </c>
      <c r="B470" s="227" t="s">
        <v>679</v>
      </c>
      <c r="C470" s="228" t="s">
        <v>794</v>
      </c>
      <c r="D470" s="410" t="s">
        <v>98</v>
      </c>
      <c r="E470" s="410" t="s">
        <v>680</v>
      </c>
      <c r="F470" s="412">
        <v>35.299999999999997</v>
      </c>
      <c r="G470" s="359" t="s">
        <v>681</v>
      </c>
      <c r="H470" s="308" t="s">
        <v>795</v>
      </c>
      <c r="I470" s="125">
        <v>35.299999999999997</v>
      </c>
      <c r="J470" s="419">
        <v>0</v>
      </c>
      <c r="K470" s="419">
        <f>I470+J470</f>
        <v>35.299999999999997</v>
      </c>
      <c r="L470" s="82">
        <v>0</v>
      </c>
      <c r="M470" s="83"/>
      <c r="N470" s="230">
        <v>1</v>
      </c>
      <c r="O470" s="423">
        <v>1</v>
      </c>
      <c r="P470" s="231">
        <v>823000</v>
      </c>
      <c r="Q470" s="231">
        <f>+ROUND((P470*N470*K470),-3)</f>
        <v>29052000</v>
      </c>
      <c r="R470" s="231">
        <f>-ROUND((38000*J470*0.5%),-3)</f>
        <v>0</v>
      </c>
      <c r="S470" s="408">
        <f>+Q470+R470</f>
        <v>29052000</v>
      </c>
      <c r="T470" s="227" t="s">
        <v>833</v>
      </c>
    </row>
    <row r="471" spans="1:20" s="19" customFormat="1" ht="19.5" x14ac:dyDescent="0.3">
      <c r="A471" s="272" t="s">
        <v>28</v>
      </c>
      <c r="B471" s="273" t="s">
        <v>141</v>
      </c>
      <c r="C471" s="233"/>
      <c r="D471" s="233"/>
      <c r="E471" s="233"/>
      <c r="F471" s="233"/>
      <c r="G471" s="233"/>
      <c r="H471" s="233"/>
      <c r="I471" s="234"/>
      <c r="J471" s="233"/>
      <c r="K471" s="235"/>
      <c r="L471" s="235"/>
      <c r="M471" s="233"/>
      <c r="N471" s="235"/>
      <c r="O471" s="233"/>
      <c r="P471" s="236"/>
      <c r="Q471" s="237"/>
      <c r="R471" s="237"/>
      <c r="S471" s="203">
        <f>S479</f>
        <v>2307000</v>
      </c>
      <c r="T471" s="233"/>
    </row>
    <row r="472" spans="1:20" s="19" customFormat="1" ht="57" customHeight="1" x14ac:dyDescent="0.3">
      <c r="A472" s="800" t="s">
        <v>5</v>
      </c>
      <c r="B472" s="802" t="s">
        <v>30</v>
      </c>
      <c r="C472" s="802" t="s">
        <v>31</v>
      </c>
      <c r="D472" s="802" t="s">
        <v>32</v>
      </c>
      <c r="E472" s="803" t="s">
        <v>33</v>
      </c>
      <c r="F472" s="758"/>
      <c r="G472" s="802" t="s">
        <v>34</v>
      </c>
      <c r="H472" s="802" t="s">
        <v>35</v>
      </c>
      <c r="I472" s="804" t="s">
        <v>36</v>
      </c>
      <c r="J472" s="758"/>
      <c r="K472" s="769" t="s">
        <v>37</v>
      </c>
      <c r="L472" s="769" t="s">
        <v>38</v>
      </c>
      <c r="M472" s="805" t="s">
        <v>39</v>
      </c>
      <c r="N472" s="802" t="s">
        <v>839</v>
      </c>
      <c r="O472" s="802" t="s">
        <v>967</v>
      </c>
      <c r="P472" s="806" t="s">
        <v>41</v>
      </c>
      <c r="Q472" s="806" t="s">
        <v>42</v>
      </c>
      <c r="R472" s="802" t="s">
        <v>43</v>
      </c>
      <c r="S472" s="802" t="s">
        <v>44</v>
      </c>
      <c r="T472" s="807" t="s">
        <v>15</v>
      </c>
    </row>
    <row r="473" spans="1:20" s="19" customFormat="1" ht="62.25" customHeight="1" x14ac:dyDescent="0.3">
      <c r="A473" s="801"/>
      <c r="B473" s="766"/>
      <c r="C473" s="766"/>
      <c r="D473" s="766"/>
      <c r="E473" s="167" t="s">
        <v>45</v>
      </c>
      <c r="F473" s="167" t="s">
        <v>46</v>
      </c>
      <c r="G473" s="766"/>
      <c r="H473" s="766"/>
      <c r="I473" s="140" t="s">
        <v>47</v>
      </c>
      <c r="J473" s="143" t="s">
        <v>48</v>
      </c>
      <c r="K473" s="766"/>
      <c r="L473" s="766"/>
      <c r="M473" s="766"/>
      <c r="N473" s="766"/>
      <c r="O473" s="766"/>
      <c r="P473" s="766"/>
      <c r="Q473" s="766"/>
      <c r="R473" s="766"/>
      <c r="S473" s="766"/>
      <c r="T473" s="808"/>
    </row>
    <row r="474" spans="1:20" s="19" customFormat="1" ht="18.75" x14ac:dyDescent="0.3">
      <c r="A474" s="147"/>
      <c r="B474" s="146" t="s">
        <v>835</v>
      </c>
      <c r="C474" s="148"/>
      <c r="D474" s="147"/>
      <c r="E474" s="147"/>
      <c r="F474" s="147"/>
      <c r="G474" s="149"/>
      <c r="H474" s="149"/>
      <c r="I474" s="150"/>
      <c r="J474" s="149"/>
      <c r="K474" s="147"/>
      <c r="L474" s="151"/>
      <c r="M474" s="152"/>
      <c r="N474" s="152"/>
      <c r="O474" s="153"/>
      <c r="P474" s="151"/>
      <c r="Q474" s="154"/>
      <c r="R474" s="154"/>
      <c r="S474" s="154">
        <f>SUM(S475)</f>
        <v>1538000</v>
      </c>
      <c r="T474" s="147"/>
    </row>
    <row r="475" spans="1:20" s="19" customFormat="1" ht="44.25" customHeight="1" x14ac:dyDescent="0.3">
      <c r="A475" s="136" t="s">
        <v>19</v>
      </c>
      <c r="B475" s="137" t="s">
        <v>393</v>
      </c>
      <c r="C475" s="138" t="s">
        <v>381</v>
      </c>
      <c r="D475" s="52" t="s">
        <v>51</v>
      </c>
      <c r="E475" s="138" t="s">
        <v>27</v>
      </c>
      <c r="F475" s="139" t="s">
        <v>52</v>
      </c>
      <c r="G475" s="138" t="s">
        <v>146</v>
      </c>
      <c r="H475" s="138" t="s">
        <v>21</v>
      </c>
      <c r="I475" s="140" t="s">
        <v>147</v>
      </c>
      <c r="J475" s="141">
        <f>2025-I475-3</f>
        <v>22</v>
      </c>
      <c r="K475" s="142">
        <v>1</v>
      </c>
      <c r="L475" s="142">
        <f>K475</f>
        <v>1</v>
      </c>
      <c r="M475" s="52" t="s">
        <v>54</v>
      </c>
      <c r="N475" s="143">
        <f>10000/208</f>
        <v>48.07692307692308</v>
      </c>
      <c r="O475" s="143">
        <f>N475*L475</f>
        <v>48.07692307692308</v>
      </c>
      <c r="P475" s="144">
        <v>1537920</v>
      </c>
      <c r="Q475" s="144">
        <f>+ROUND((L475*P475),-3)</f>
        <v>1538000</v>
      </c>
      <c r="R475" s="145">
        <v>1</v>
      </c>
      <c r="S475" s="144">
        <f>+Q475*R475</f>
        <v>1538000</v>
      </c>
      <c r="T475" s="52" t="s">
        <v>394</v>
      </c>
    </row>
    <row r="476" spans="1:20" s="19" customFormat="1" ht="40.5" customHeight="1" x14ac:dyDescent="0.3">
      <c r="A476" s="147" t="s">
        <v>836</v>
      </c>
      <c r="B476" s="287" t="s">
        <v>837</v>
      </c>
      <c r="C476" s="288"/>
      <c r="D476" s="289"/>
      <c r="E476" s="289"/>
      <c r="F476" s="289"/>
      <c r="G476" s="290"/>
      <c r="H476" s="290"/>
      <c r="I476" s="291"/>
      <c r="J476" s="290"/>
      <c r="K476" s="292"/>
      <c r="L476" s="293"/>
      <c r="M476" s="293"/>
      <c r="N476" s="293"/>
      <c r="O476" s="294"/>
      <c r="P476" s="293"/>
      <c r="Q476" s="295"/>
      <c r="R476" s="295"/>
      <c r="S476" s="154">
        <f>50%*S474</f>
        <v>769000</v>
      </c>
      <c r="T476" s="289"/>
    </row>
    <row r="477" spans="1:20" s="19" customFormat="1" ht="18.75" x14ac:dyDescent="0.3">
      <c r="A477" s="289"/>
      <c r="B477" s="146" t="s">
        <v>838</v>
      </c>
      <c r="C477" s="296"/>
      <c r="D477" s="289"/>
      <c r="E477" s="289"/>
      <c r="F477" s="289"/>
      <c r="G477" s="290"/>
      <c r="H477" s="290"/>
      <c r="I477" s="291"/>
      <c r="J477" s="290"/>
      <c r="K477" s="292"/>
      <c r="L477" s="293"/>
      <c r="M477" s="293"/>
      <c r="N477" s="293"/>
      <c r="O477" s="294"/>
      <c r="P477" s="293"/>
      <c r="Q477" s="295"/>
      <c r="R477" s="295"/>
      <c r="S477" s="154">
        <f>SUM(S478)</f>
        <v>1538000</v>
      </c>
      <c r="T477" s="289"/>
    </row>
    <row r="478" spans="1:20" s="19" customFormat="1" ht="44.25" customHeight="1" x14ac:dyDescent="0.3">
      <c r="A478" s="136" t="s">
        <v>98</v>
      </c>
      <c r="B478" s="137" t="s">
        <v>393</v>
      </c>
      <c r="C478" s="138" t="s">
        <v>381</v>
      </c>
      <c r="D478" s="52" t="s">
        <v>51</v>
      </c>
      <c r="E478" s="138" t="s">
        <v>27</v>
      </c>
      <c r="F478" s="139" t="s">
        <v>52</v>
      </c>
      <c r="G478" s="138" t="s">
        <v>146</v>
      </c>
      <c r="H478" s="138" t="s">
        <v>21</v>
      </c>
      <c r="I478" s="140" t="s">
        <v>147</v>
      </c>
      <c r="J478" s="141">
        <f>2025-I478-3</f>
        <v>22</v>
      </c>
      <c r="K478" s="142">
        <v>1</v>
      </c>
      <c r="L478" s="142">
        <f>K478</f>
        <v>1</v>
      </c>
      <c r="M478" s="52" t="s">
        <v>54</v>
      </c>
      <c r="N478" s="143">
        <f>10000/208</f>
        <v>48.07692307692308</v>
      </c>
      <c r="O478" s="143">
        <f>N478*L478</f>
        <v>48.07692307692308</v>
      </c>
      <c r="P478" s="144">
        <v>1537920</v>
      </c>
      <c r="Q478" s="144">
        <f>+ROUND((L478*P478),-3)</f>
        <v>1538000</v>
      </c>
      <c r="R478" s="145">
        <v>1</v>
      </c>
      <c r="S478" s="144">
        <f>+Q478*R478</f>
        <v>1538000</v>
      </c>
      <c r="T478" s="52" t="s">
        <v>394</v>
      </c>
    </row>
    <row r="479" spans="1:20" s="19" customFormat="1" ht="30.75" customHeight="1" x14ac:dyDescent="0.3">
      <c r="A479" s="239"/>
      <c r="B479" s="166" t="s">
        <v>55</v>
      </c>
      <c r="C479" s="166"/>
      <c r="D479" s="240"/>
      <c r="E479" s="159"/>
      <c r="F479" s="167"/>
      <c r="G479" s="167"/>
      <c r="H479" s="167"/>
      <c r="I479" s="168"/>
      <c r="J479" s="167"/>
      <c r="K479" s="167"/>
      <c r="L479" s="167"/>
      <c r="M479" s="167"/>
      <c r="N479" s="167"/>
      <c r="O479" s="167"/>
      <c r="P479" s="45"/>
      <c r="Q479" s="45"/>
      <c r="R479" s="45"/>
      <c r="S479" s="45">
        <f>S474+S476</f>
        <v>2307000</v>
      </c>
      <c r="T479" s="185"/>
    </row>
    <row r="480" spans="1:20" s="19" customFormat="1" ht="19.5" x14ac:dyDescent="0.3">
      <c r="A480" s="272" t="s">
        <v>56</v>
      </c>
      <c r="B480" s="273" t="s">
        <v>201</v>
      </c>
      <c r="C480" s="233"/>
      <c r="D480" s="233"/>
      <c r="E480" s="233"/>
      <c r="F480" s="233"/>
      <c r="G480" s="233"/>
      <c r="H480" s="233"/>
      <c r="I480" s="234"/>
      <c r="J480" s="233"/>
      <c r="K480" s="235"/>
      <c r="L480" s="235"/>
      <c r="M480" s="233"/>
      <c r="N480" s="235"/>
      <c r="O480" s="233"/>
      <c r="P480" s="236"/>
      <c r="Q480" s="233"/>
      <c r="R480" s="233"/>
      <c r="S480" s="237">
        <f>S485</f>
        <v>957000</v>
      </c>
      <c r="T480" s="233"/>
    </row>
    <row r="481" spans="1:20" s="19" customFormat="1" ht="18.75" customHeight="1" x14ac:dyDescent="0.3">
      <c r="A481" s="765"/>
      <c r="B481" s="767" t="s">
        <v>51</v>
      </c>
      <c r="C481" s="767" t="s">
        <v>58</v>
      </c>
      <c r="D481" s="768" t="s">
        <v>59</v>
      </c>
      <c r="E481" s="769" t="s">
        <v>60</v>
      </c>
      <c r="F481" s="769" t="s">
        <v>61</v>
      </c>
      <c r="G481" s="769" t="s">
        <v>62</v>
      </c>
      <c r="H481" s="769" t="s">
        <v>63</v>
      </c>
      <c r="I481" s="770" t="s">
        <v>64</v>
      </c>
      <c r="J481" s="757"/>
      <c r="K481" s="757"/>
      <c r="L481" s="757"/>
      <c r="M481" s="758"/>
      <c r="N481" s="771" t="s">
        <v>3</v>
      </c>
      <c r="O481" s="771" t="s">
        <v>65</v>
      </c>
      <c r="P481" s="771" t="s">
        <v>66</v>
      </c>
      <c r="Q481" s="771" t="s">
        <v>67</v>
      </c>
      <c r="R481" s="767" t="s">
        <v>68</v>
      </c>
      <c r="S481" s="767" t="s">
        <v>69</v>
      </c>
      <c r="T481" s="767" t="s">
        <v>70</v>
      </c>
    </row>
    <row r="482" spans="1:20" s="19" customFormat="1" ht="18.75" customHeight="1" x14ac:dyDescent="0.3">
      <c r="A482" s="766"/>
      <c r="B482" s="766"/>
      <c r="C482" s="766"/>
      <c r="D482" s="766"/>
      <c r="E482" s="766"/>
      <c r="F482" s="766"/>
      <c r="G482" s="766"/>
      <c r="H482" s="766"/>
      <c r="I482" s="168" t="s">
        <v>71</v>
      </c>
      <c r="J482" s="159" t="s">
        <v>72</v>
      </c>
      <c r="K482" s="159" t="s">
        <v>73</v>
      </c>
      <c r="L482" s="45" t="s">
        <v>74</v>
      </c>
      <c r="M482" s="204" t="s">
        <v>75</v>
      </c>
      <c r="N482" s="766"/>
      <c r="O482" s="766"/>
      <c r="P482" s="766"/>
      <c r="Q482" s="766"/>
      <c r="R482" s="766"/>
      <c r="S482" s="766"/>
      <c r="T482" s="766"/>
    </row>
    <row r="483" spans="1:20" s="19" customFormat="1" ht="88.5" customHeight="1" x14ac:dyDescent="0.3">
      <c r="A483" s="196" t="s">
        <v>5</v>
      </c>
      <c r="B483" s="49" t="s">
        <v>76</v>
      </c>
      <c r="C483" s="49" t="s">
        <v>77</v>
      </c>
      <c r="D483" s="49" t="s">
        <v>78</v>
      </c>
      <c r="E483" s="159" t="s">
        <v>79</v>
      </c>
      <c r="F483" s="159" t="s">
        <v>80</v>
      </c>
      <c r="G483" s="159" t="s">
        <v>81</v>
      </c>
      <c r="H483" s="45" t="s">
        <v>82</v>
      </c>
      <c r="I483" s="168" t="s">
        <v>83</v>
      </c>
      <c r="J483" s="242" t="s">
        <v>84</v>
      </c>
      <c r="K483" s="242" t="s">
        <v>85</v>
      </c>
      <c r="L483" s="49" t="s">
        <v>86</v>
      </c>
      <c r="M483" s="204" t="s">
        <v>87</v>
      </c>
      <c r="N483" s="159" t="s">
        <v>88</v>
      </c>
      <c r="O483" s="159" t="s">
        <v>89</v>
      </c>
      <c r="P483" s="159" t="s">
        <v>90</v>
      </c>
      <c r="Q483" s="159" t="s">
        <v>91</v>
      </c>
      <c r="R483" s="159" t="s">
        <v>92</v>
      </c>
      <c r="S483" s="159" t="s">
        <v>964</v>
      </c>
      <c r="T483" s="159" t="s">
        <v>15</v>
      </c>
    </row>
    <row r="484" spans="1:20" s="19" customFormat="1" ht="59.25" customHeight="1" x14ac:dyDescent="0.3">
      <c r="A484" s="155">
        <v>1</v>
      </c>
      <c r="B484" s="156" t="s">
        <v>93</v>
      </c>
      <c r="C484" s="156" t="s">
        <v>395</v>
      </c>
      <c r="D484" s="157" t="s">
        <v>957</v>
      </c>
      <c r="E484" s="158" t="s">
        <v>147</v>
      </c>
      <c r="F484" s="159"/>
      <c r="G484" s="141">
        <f>2023-E484</f>
        <v>23</v>
      </c>
      <c r="H484" s="138" t="s">
        <v>95</v>
      </c>
      <c r="I484" s="160">
        <f>1.5*6</f>
        <v>9</v>
      </c>
      <c r="J484" s="140" t="s">
        <v>96</v>
      </c>
      <c r="K484" s="138">
        <f>+I484-J484</f>
        <v>9</v>
      </c>
      <c r="L484" s="161">
        <v>0.99199999999999999</v>
      </c>
      <c r="M484" s="144">
        <v>134000</v>
      </c>
      <c r="N484" s="145">
        <v>0.8</v>
      </c>
      <c r="O484" s="144">
        <f>M484</f>
        <v>134000</v>
      </c>
      <c r="P484" s="45">
        <f>+ROUND((K484*L484*O484*N484),-3)</f>
        <v>957000</v>
      </c>
      <c r="Q484" s="144" t="s">
        <v>97</v>
      </c>
      <c r="R484" s="144" t="s">
        <v>97</v>
      </c>
      <c r="S484" s="45">
        <f>P484</f>
        <v>957000</v>
      </c>
      <c r="T484" s="138" t="s">
        <v>386</v>
      </c>
    </row>
    <row r="485" spans="1:20" s="19" customFormat="1" ht="30" customHeight="1" x14ac:dyDescent="0.3">
      <c r="A485" s="165"/>
      <c r="B485" s="166" t="s">
        <v>55</v>
      </c>
      <c r="C485" s="166"/>
      <c r="D485" s="159"/>
      <c r="E485" s="159"/>
      <c r="F485" s="167"/>
      <c r="G485" s="167"/>
      <c r="H485" s="167"/>
      <c r="I485" s="168"/>
      <c r="J485" s="167"/>
      <c r="K485" s="167"/>
      <c r="L485" s="167"/>
      <c r="M485" s="167"/>
      <c r="N485" s="167"/>
      <c r="O485" s="167"/>
      <c r="P485" s="167"/>
      <c r="Q485" s="167"/>
      <c r="R485" s="167"/>
      <c r="S485" s="45">
        <f>S484</f>
        <v>957000</v>
      </c>
      <c r="T485" s="167"/>
    </row>
    <row r="486" spans="1:20" s="19" customFormat="1" ht="30" customHeight="1" x14ac:dyDescent="0.3">
      <c r="A486" s="171" t="s">
        <v>131</v>
      </c>
      <c r="B486" s="172" t="s">
        <v>132</v>
      </c>
      <c r="C486" s="173"/>
      <c r="D486" s="466"/>
      <c r="E486" s="466"/>
      <c r="F486" s="466"/>
      <c r="G486" s="466"/>
      <c r="H486" s="466"/>
      <c r="I486" s="467"/>
      <c r="J486" s="466"/>
      <c r="K486" s="468"/>
      <c r="L486" s="468"/>
      <c r="M486" s="466"/>
      <c r="N486" s="468"/>
      <c r="O486" s="466"/>
      <c r="P486" s="469"/>
      <c r="Q486" s="466"/>
      <c r="R486" s="466"/>
      <c r="S486" s="470">
        <v>0</v>
      </c>
      <c r="T486" s="466"/>
    </row>
    <row r="487" spans="1:20" s="19" customFormat="1" ht="30" customHeight="1" x14ac:dyDescent="0.3">
      <c r="A487" s="171" t="s">
        <v>133</v>
      </c>
      <c r="B487" s="172" t="s">
        <v>134</v>
      </c>
      <c r="C487" s="174"/>
      <c r="D487" s="174"/>
      <c r="E487" s="174"/>
      <c r="F487" s="174"/>
      <c r="G487" s="174"/>
      <c r="H487" s="174"/>
      <c r="I487" s="175"/>
      <c r="J487" s="174"/>
      <c r="K487" s="176"/>
      <c r="L487" s="176"/>
      <c r="M487" s="174"/>
      <c r="N487" s="176"/>
      <c r="O487" s="174"/>
      <c r="P487" s="177"/>
      <c r="Q487" s="174"/>
      <c r="R487" s="174"/>
      <c r="S487" s="174"/>
      <c r="T487" s="174"/>
    </row>
    <row r="488" spans="1:20" s="19" customFormat="1" ht="30" customHeight="1" x14ac:dyDescent="0.3">
      <c r="A488" s="178" t="s">
        <v>135</v>
      </c>
      <c r="B488" s="756" t="s">
        <v>396</v>
      </c>
      <c r="C488" s="757"/>
      <c r="D488" s="757"/>
      <c r="E488" s="757"/>
      <c r="F488" s="757"/>
      <c r="G488" s="757"/>
      <c r="H488" s="757"/>
      <c r="I488" s="757"/>
      <c r="J488" s="757"/>
      <c r="K488" s="757"/>
      <c r="L488" s="757"/>
      <c r="M488" s="757"/>
      <c r="N488" s="757"/>
      <c r="O488" s="757"/>
      <c r="P488" s="757"/>
      <c r="Q488" s="757"/>
      <c r="R488" s="758"/>
      <c r="S488" s="29">
        <f>+S485+S479</f>
        <v>3264000</v>
      </c>
      <c r="T488" s="174" t="s">
        <v>137</v>
      </c>
    </row>
    <row r="489" spans="1:20" ht="28.5" customHeight="1" x14ac:dyDescent="0.3">
      <c r="A489" s="474"/>
      <c r="B489" s="829" t="s">
        <v>397</v>
      </c>
      <c r="C489" s="773"/>
      <c r="D489" s="773"/>
      <c r="E489" s="773"/>
      <c r="F489" s="773"/>
      <c r="G489" s="773"/>
      <c r="H489" s="773"/>
      <c r="I489" s="773"/>
      <c r="J489" s="773"/>
      <c r="K489" s="773"/>
      <c r="L489" s="773"/>
      <c r="M489" s="773"/>
      <c r="N489" s="773"/>
      <c r="O489" s="773"/>
      <c r="P489" s="773"/>
      <c r="Q489" s="773"/>
      <c r="R489" s="773"/>
      <c r="S489" s="773"/>
      <c r="T489" s="474"/>
    </row>
    <row r="490" spans="1:20" ht="18.75" customHeight="1" x14ac:dyDescent="0.3">
      <c r="A490" s="474"/>
      <c r="B490" s="772" t="s">
        <v>1</v>
      </c>
      <c r="C490" s="773"/>
      <c r="D490" s="773"/>
      <c r="E490" s="773"/>
      <c r="F490" s="773"/>
      <c r="G490" s="773"/>
      <c r="H490" s="773"/>
      <c r="I490" s="773"/>
      <c r="J490" s="773"/>
      <c r="K490" s="773"/>
      <c r="L490" s="773"/>
      <c r="M490" s="773"/>
      <c r="N490" s="773"/>
      <c r="O490" s="773"/>
      <c r="P490" s="773"/>
      <c r="Q490" s="773"/>
      <c r="R490" s="773"/>
      <c r="S490" s="773"/>
      <c r="T490" s="474"/>
    </row>
    <row r="491" spans="1:20" ht="18.75" customHeight="1" x14ac:dyDescent="0.3">
      <c r="A491" s="474"/>
      <c r="B491" s="772" t="s">
        <v>2</v>
      </c>
      <c r="C491" s="773"/>
      <c r="D491" s="773"/>
      <c r="E491" s="773"/>
      <c r="F491" s="773"/>
      <c r="G491" s="773"/>
      <c r="H491" s="773"/>
      <c r="I491" s="773"/>
      <c r="J491" s="773"/>
      <c r="K491" s="773"/>
      <c r="L491" s="773"/>
      <c r="M491" s="773"/>
      <c r="N491" s="773"/>
      <c r="O491" s="773"/>
      <c r="P491" s="773"/>
      <c r="Q491" s="773"/>
      <c r="R491" s="773"/>
      <c r="S491" s="773"/>
      <c r="T491" s="474"/>
    </row>
    <row r="492" spans="1:20" ht="18.75" customHeight="1" x14ac:dyDescent="0.3">
      <c r="A492" s="475"/>
      <c r="B492" s="809" t="str">
        <f>B461</f>
        <v>(Kèm theo Quyết định số     /QĐ-UBND ngày     tháng     năm 2026 của Ủy ban nhân dân xã Thuận An)</v>
      </c>
      <c r="C492" s="773"/>
      <c r="D492" s="773"/>
      <c r="E492" s="773"/>
      <c r="F492" s="773"/>
      <c r="G492" s="773"/>
      <c r="H492" s="773"/>
      <c r="I492" s="773"/>
      <c r="J492" s="773"/>
      <c r="K492" s="773"/>
      <c r="L492" s="773"/>
      <c r="M492" s="773"/>
      <c r="N492" s="773"/>
      <c r="O492" s="773"/>
      <c r="P492" s="773"/>
      <c r="Q492" s="773"/>
      <c r="R492" s="773"/>
      <c r="S492" s="773"/>
      <c r="T492" s="475"/>
    </row>
    <row r="493" spans="1:20" s="19" customFormat="1" ht="18.75" customHeight="1" thickBot="1" x14ac:dyDescent="0.35">
      <c r="A493" s="272" t="s">
        <v>3</v>
      </c>
      <c r="B493" s="273" t="s">
        <v>4</v>
      </c>
      <c r="C493" s="233"/>
      <c r="D493" s="233"/>
      <c r="E493" s="233"/>
      <c r="F493" s="233"/>
      <c r="G493" s="233"/>
      <c r="H493" s="233"/>
      <c r="I493" s="234"/>
      <c r="J493" s="233"/>
      <c r="K493" s="235"/>
      <c r="L493" s="235"/>
      <c r="M493" s="233"/>
      <c r="N493" s="235"/>
      <c r="O493" s="233"/>
      <c r="P493" s="236"/>
      <c r="Q493" s="233"/>
      <c r="R493" s="233"/>
      <c r="S493" s="237"/>
      <c r="T493" s="233"/>
    </row>
    <row r="494" spans="1:20" s="19" customFormat="1" ht="57.75" customHeight="1" x14ac:dyDescent="0.3">
      <c r="A494" s="810" t="s">
        <v>5</v>
      </c>
      <c r="B494" s="812" t="s">
        <v>6</v>
      </c>
      <c r="C494" s="814" t="s">
        <v>7</v>
      </c>
      <c r="D494" s="817" t="s">
        <v>959</v>
      </c>
      <c r="E494" s="818"/>
      <c r="F494" s="819"/>
      <c r="G494" s="817" t="s">
        <v>960</v>
      </c>
      <c r="H494" s="818"/>
      <c r="I494" s="819"/>
      <c r="J494" s="817" t="s">
        <v>961</v>
      </c>
      <c r="K494" s="818"/>
      <c r="L494" s="819"/>
      <c r="M494" s="820" t="s">
        <v>8</v>
      </c>
      <c r="N494" s="823" t="s">
        <v>9</v>
      </c>
      <c r="O494" s="823" t="s">
        <v>10</v>
      </c>
      <c r="P494" s="824" t="s">
        <v>11</v>
      </c>
      <c r="Q494" s="824" t="s">
        <v>12</v>
      </c>
      <c r="R494" s="824" t="s">
        <v>13</v>
      </c>
      <c r="S494" s="812" t="s">
        <v>14</v>
      </c>
      <c r="T494" s="825" t="s">
        <v>15</v>
      </c>
    </row>
    <row r="495" spans="1:20" s="19" customFormat="1" ht="57.75" customHeight="1" x14ac:dyDescent="0.3">
      <c r="A495" s="811"/>
      <c r="B495" s="813"/>
      <c r="C495" s="815"/>
      <c r="D495" s="827" t="s">
        <v>16</v>
      </c>
      <c r="E495" s="803" t="s">
        <v>17</v>
      </c>
      <c r="F495" s="828"/>
      <c r="G495" s="827" t="s">
        <v>16</v>
      </c>
      <c r="H495" s="803" t="s">
        <v>17</v>
      </c>
      <c r="I495" s="828"/>
      <c r="J495" s="800" t="s">
        <v>18</v>
      </c>
      <c r="K495" s="803" t="s">
        <v>17</v>
      </c>
      <c r="L495" s="828"/>
      <c r="M495" s="821"/>
      <c r="N495" s="813"/>
      <c r="O495" s="813"/>
      <c r="P495" s="813"/>
      <c r="Q495" s="813"/>
      <c r="R495" s="813"/>
      <c r="S495" s="813"/>
      <c r="T495" s="826"/>
    </row>
    <row r="496" spans="1:20" s="19" customFormat="1" ht="65.25" customHeight="1" x14ac:dyDescent="0.3">
      <c r="A496" s="801"/>
      <c r="B496" s="766"/>
      <c r="C496" s="816"/>
      <c r="D496" s="801"/>
      <c r="E496" s="167" t="s">
        <v>962</v>
      </c>
      <c r="F496" s="185" t="s">
        <v>963</v>
      </c>
      <c r="G496" s="801"/>
      <c r="H496" s="167" t="s">
        <v>962</v>
      </c>
      <c r="I496" s="186" t="s">
        <v>963</v>
      </c>
      <c r="J496" s="801"/>
      <c r="K496" s="167" t="s">
        <v>962</v>
      </c>
      <c r="L496" s="185" t="s">
        <v>963</v>
      </c>
      <c r="M496" s="822"/>
      <c r="N496" s="766"/>
      <c r="O496" s="766"/>
      <c r="P496" s="766"/>
      <c r="Q496" s="766"/>
      <c r="R496" s="766"/>
      <c r="S496" s="766"/>
      <c r="T496" s="808"/>
    </row>
    <row r="497" spans="1:20" s="19" customFormat="1" ht="66" customHeight="1" x14ac:dyDescent="0.3">
      <c r="A497" s="179" t="s">
        <v>398</v>
      </c>
      <c r="B497" s="44" t="s">
        <v>399</v>
      </c>
      <c r="C497" s="49" t="s">
        <v>400</v>
      </c>
      <c r="D497" s="180">
        <f>E497+F497</f>
        <v>945</v>
      </c>
      <c r="E497" s="143">
        <v>215</v>
      </c>
      <c r="F497" s="181">
        <v>730</v>
      </c>
      <c r="G497" s="180">
        <f>+H497+I497</f>
        <v>945</v>
      </c>
      <c r="H497" s="143">
        <v>215</v>
      </c>
      <c r="I497" s="182">
        <v>730</v>
      </c>
      <c r="J497" s="180">
        <v>154.5</v>
      </c>
      <c r="K497" s="143">
        <v>0</v>
      </c>
      <c r="L497" s="181">
        <f>J497</f>
        <v>154.5</v>
      </c>
      <c r="M497" s="377">
        <v>0</v>
      </c>
      <c r="N497" s="183">
        <f>L497/F497</f>
        <v>0.21164383561643835</v>
      </c>
      <c r="O497" s="142" t="s">
        <v>21</v>
      </c>
      <c r="P497" s="144" t="s">
        <v>401</v>
      </c>
      <c r="Q497" s="144" t="s">
        <v>23</v>
      </c>
      <c r="R497" s="138" t="s">
        <v>24</v>
      </c>
      <c r="S497" s="138" t="s">
        <v>21</v>
      </c>
      <c r="T497" s="184" t="s">
        <v>402</v>
      </c>
    </row>
    <row r="498" spans="1:20" s="19" customFormat="1" ht="19.5" x14ac:dyDescent="0.3">
      <c r="A498" s="272" t="s">
        <v>27</v>
      </c>
      <c r="B498" s="273" t="s">
        <v>777</v>
      </c>
      <c r="C498" s="233"/>
      <c r="D498" s="233"/>
      <c r="E498" s="233"/>
      <c r="F498" s="233"/>
      <c r="G498" s="233"/>
      <c r="H498" s="233"/>
      <c r="I498" s="234"/>
      <c r="J498" s="233"/>
      <c r="K498" s="235"/>
      <c r="L498" s="235"/>
      <c r="M498" s="233"/>
      <c r="N498" s="235"/>
      <c r="O498" s="233"/>
      <c r="P498" s="236"/>
      <c r="Q498" s="233"/>
      <c r="R498" s="233"/>
      <c r="S498" s="233"/>
      <c r="T498" s="233"/>
    </row>
    <row r="499" spans="1:20" s="19" customFormat="1" ht="50.25" customHeight="1" x14ac:dyDescent="0.3">
      <c r="A499" s="781" t="s">
        <v>5</v>
      </c>
      <c r="B499" s="783" t="s">
        <v>663</v>
      </c>
      <c r="C499" s="783" t="s">
        <v>664</v>
      </c>
      <c r="D499" s="785" t="s">
        <v>665</v>
      </c>
      <c r="E499" s="786"/>
      <c r="F499" s="786"/>
      <c r="G499" s="787"/>
      <c r="H499" s="788" t="s">
        <v>666</v>
      </c>
      <c r="I499" s="790" t="s">
        <v>667</v>
      </c>
      <c r="J499" s="760"/>
      <c r="K499" s="791"/>
      <c r="L499" s="792" t="s">
        <v>668</v>
      </c>
      <c r="M499" s="793"/>
      <c r="N499" s="794" t="s">
        <v>43</v>
      </c>
      <c r="O499" s="783" t="s">
        <v>669</v>
      </c>
      <c r="P499" s="796" t="s">
        <v>670</v>
      </c>
      <c r="Q499" s="796" t="s">
        <v>42</v>
      </c>
      <c r="R499" s="783" t="s">
        <v>671</v>
      </c>
      <c r="S499" s="783" t="s">
        <v>44</v>
      </c>
      <c r="T499" s="798" t="s">
        <v>15</v>
      </c>
    </row>
    <row r="500" spans="1:20" s="19" customFormat="1" ht="105.75" customHeight="1" x14ac:dyDescent="0.3">
      <c r="A500" s="782"/>
      <c r="B500" s="784"/>
      <c r="C500" s="784"/>
      <c r="D500" s="407" t="s">
        <v>672</v>
      </c>
      <c r="E500" s="407" t="s">
        <v>673</v>
      </c>
      <c r="F500" s="407" t="s">
        <v>759</v>
      </c>
      <c r="G500" s="407" t="s">
        <v>17</v>
      </c>
      <c r="H500" s="789"/>
      <c r="I500" s="125" t="s">
        <v>674</v>
      </c>
      <c r="J500" s="418" t="s">
        <v>675</v>
      </c>
      <c r="K500" s="81" t="s">
        <v>676</v>
      </c>
      <c r="L500" s="82" t="s">
        <v>677</v>
      </c>
      <c r="M500" s="83" t="s">
        <v>678</v>
      </c>
      <c r="N500" s="795"/>
      <c r="O500" s="784"/>
      <c r="P500" s="797"/>
      <c r="Q500" s="797"/>
      <c r="R500" s="784"/>
      <c r="S500" s="784"/>
      <c r="T500" s="799"/>
    </row>
    <row r="501" spans="1:20" s="19" customFormat="1" ht="110.25" customHeight="1" x14ac:dyDescent="0.3">
      <c r="A501" s="226" t="s">
        <v>19</v>
      </c>
      <c r="B501" s="227" t="s">
        <v>679</v>
      </c>
      <c r="C501" s="228" t="s">
        <v>796</v>
      </c>
      <c r="D501" s="410" t="s">
        <v>104</v>
      </c>
      <c r="E501" s="410" t="s">
        <v>680</v>
      </c>
      <c r="F501" s="412">
        <v>154.5</v>
      </c>
      <c r="G501" s="359" t="s">
        <v>681</v>
      </c>
      <c r="H501" s="308" t="s">
        <v>797</v>
      </c>
      <c r="I501" s="125">
        <v>154.5</v>
      </c>
      <c r="J501" s="419">
        <v>0</v>
      </c>
      <c r="K501" s="419">
        <f>I501+J501</f>
        <v>154.5</v>
      </c>
      <c r="L501" s="82">
        <v>0</v>
      </c>
      <c r="M501" s="83"/>
      <c r="N501" s="230">
        <v>1</v>
      </c>
      <c r="O501" s="423">
        <v>1</v>
      </c>
      <c r="P501" s="231">
        <v>988000</v>
      </c>
      <c r="Q501" s="231">
        <f>+ROUND((P501*N501*K501),-3)</f>
        <v>152646000</v>
      </c>
      <c r="R501" s="231">
        <f>-ROUND((38000*J501*0.5%),-3)</f>
        <v>0</v>
      </c>
      <c r="S501" s="408">
        <f>+Q501+R501</f>
        <v>152646000</v>
      </c>
      <c r="T501" s="232" t="s">
        <v>833</v>
      </c>
    </row>
    <row r="502" spans="1:20" s="19" customFormat="1" ht="19.5" x14ac:dyDescent="0.3">
      <c r="A502" s="272" t="s">
        <v>28</v>
      </c>
      <c r="B502" s="273" t="s">
        <v>141</v>
      </c>
      <c r="C502" s="233"/>
      <c r="D502" s="233"/>
      <c r="E502" s="233"/>
      <c r="F502" s="233"/>
      <c r="G502" s="233"/>
      <c r="H502" s="233"/>
      <c r="I502" s="234"/>
      <c r="J502" s="233"/>
      <c r="K502" s="235"/>
      <c r="L502" s="235"/>
      <c r="M502" s="233"/>
      <c r="N502" s="235"/>
      <c r="O502" s="233"/>
      <c r="P502" s="236"/>
      <c r="Q502" s="237"/>
      <c r="R502" s="237"/>
      <c r="S502" s="203">
        <f>S509</f>
        <v>6843000</v>
      </c>
      <c r="T502" s="233"/>
    </row>
    <row r="503" spans="1:20" s="19" customFormat="1" ht="70.5" customHeight="1" x14ac:dyDescent="0.3">
      <c r="A503" s="800" t="s">
        <v>5</v>
      </c>
      <c r="B503" s="802" t="s">
        <v>30</v>
      </c>
      <c r="C503" s="802" t="s">
        <v>31</v>
      </c>
      <c r="D503" s="802" t="s">
        <v>32</v>
      </c>
      <c r="E503" s="803" t="s">
        <v>33</v>
      </c>
      <c r="F503" s="758"/>
      <c r="G503" s="802" t="s">
        <v>34</v>
      </c>
      <c r="H503" s="802" t="s">
        <v>35</v>
      </c>
      <c r="I503" s="804" t="s">
        <v>36</v>
      </c>
      <c r="J503" s="758"/>
      <c r="K503" s="769" t="s">
        <v>37</v>
      </c>
      <c r="L503" s="769" t="s">
        <v>38</v>
      </c>
      <c r="M503" s="805" t="s">
        <v>39</v>
      </c>
      <c r="N503" s="802" t="s">
        <v>839</v>
      </c>
      <c r="O503" s="802" t="s">
        <v>967</v>
      </c>
      <c r="P503" s="806" t="s">
        <v>41</v>
      </c>
      <c r="Q503" s="806" t="s">
        <v>42</v>
      </c>
      <c r="R503" s="802" t="s">
        <v>43</v>
      </c>
      <c r="S503" s="802" t="s">
        <v>44</v>
      </c>
      <c r="T503" s="807" t="s">
        <v>15</v>
      </c>
    </row>
    <row r="504" spans="1:20" s="19" customFormat="1" ht="61.5" customHeight="1" x14ac:dyDescent="0.3">
      <c r="A504" s="801"/>
      <c r="B504" s="766"/>
      <c r="C504" s="766"/>
      <c r="D504" s="766"/>
      <c r="E504" s="167" t="s">
        <v>45</v>
      </c>
      <c r="F504" s="167" t="s">
        <v>46</v>
      </c>
      <c r="G504" s="766"/>
      <c r="H504" s="766"/>
      <c r="I504" s="140" t="s">
        <v>47</v>
      </c>
      <c r="J504" s="143" t="s">
        <v>48</v>
      </c>
      <c r="K504" s="766"/>
      <c r="L504" s="766"/>
      <c r="M504" s="766"/>
      <c r="N504" s="766"/>
      <c r="O504" s="766"/>
      <c r="P504" s="766"/>
      <c r="Q504" s="766"/>
      <c r="R504" s="766"/>
      <c r="S504" s="766"/>
      <c r="T504" s="808"/>
    </row>
    <row r="505" spans="1:20" s="19" customFormat="1" ht="41.25" customHeight="1" x14ac:dyDescent="0.3">
      <c r="A505" s="136" t="s">
        <v>19</v>
      </c>
      <c r="B505" s="137" t="s">
        <v>403</v>
      </c>
      <c r="C505" s="138" t="s">
        <v>977</v>
      </c>
      <c r="D505" s="52" t="s">
        <v>51</v>
      </c>
      <c r="E505" s="138" t="s">
        <v>27</v>
      </c>
      <c r="F505" s="139" t="s">
        <v>52</v>
      </c>
      <c r="G505" s="138" t="s">
        <v>146</v>
      </c>
      <c r="H505" s="138" t="s">
        <v>21</v>
      </c>
      <c r="I505" s="140" t="s">
        <v>404</v>
      </c>
      <c r="J505" s="141">
        <f>2025-I505-4</f>
        <v>26</v>
      </c>
      <c r="K505" s="142">
        <v>1</v>
      </c>
      <c r="L505" s="142">
        <f>K505</f>
        <v>1</v>
      </c>
      <c r="M505" s="52" t="s">
        <v>54</v>
      </c>
      <c r="N505" s="143">
        <f>10000/156</f>
        <v>64.102564102564102</v>
      </c>
      <c r="O505" s="143">
        <f>N505*L505</f>
        <v>64.102564102564102</v>
      </c>
      <c r="P505" s="144">
        <v>3329520</v>
      </c>
      <c r="Q505" s="144">
        <f>+ROUND((L505*P505),-3)</f>
        <v>3330000</v>
      </c>
      <c r="R505" s="145">
        <v>1</v>
      </c>
      <c r="S505" s="144">
        <f>+Q505*R505</f>
        <v>3330000</v>
      </c>
      <c r="T505" s="52" t="s">
        <v>394</v>
      </c>
    </row>
    <row r="506" spans="1:20" s="19" customFormat="1" ht="41.25" customHeight="1" x14ac:dyDescent="0.3">
      <c r="A506" s="136" t="s">
        <v>98</v>
      </c>
      <c r="B506" s="137" t="s">
        <v>383</v>
      </c>
      <c r="C506" s="138" t="s">
        <v>247</v>
      </c>
      <c r="D506" s="52" t="s">
        <v>51</v>
      </c>
      <c r="E506" s="138" t="s">
        <v>27</v>
      </c>
      <c r="F506" s="139" t="s">
        <v>150</v>
      </c>
      <c r="G506" s="138" t="s">
        <v>146</v>
      </c>
      <c r="H506" s="138" t="s">
        <v>21</v>
      </c>
      <c r="I506" s="140" t="s">
        <v>243</v>
      </c>
      <c r="J506" s="141">
        <f>2025-I506-3</f>
        <v>12</v>
      </c>
      <c r="K506" s="142">
        <v>1</v>
      </c>
      <c r="L506" s="142">
        <f>K506</f>
        <v>1</v>
      </c>
      <c r="M506" s="52" t="s">
        <v>54</v>
      </c>
      <c r="N506" s="143">
        <f>10000/208</f>
        <v>48.07692307692308</v>
      </c>
      <c r="O506" s="143">
        <f t="shared" ref="O506:O508" si="54">N506*L506</f>
        <v>48.07692307692308</v>
      </c>
      <c r="P506" s="144">
        <v>3271560</v>
      </c>
      <c r="Q506" s="144">
        <f>+ROUND((L506*P506),-3)</f>
        <v>3272000</v>
      </c>
      <c r="R506" s="145">
        <v>1</v>
      </c>
      <c r="S506" s="144">
        <f>+Q506*R506</f>
        <v>3272000</v>
      </c>
      <c r="T506" s="52" t="s">
        <v>394</v>
      </c>
    </row>
    <row r="507" spans="1:20" s="19" customFormat="1" ht="41.25" customHeight="1" x14ac:dyDescent="0.3">
      <c r="A507" s="136" t="s">
        <v>104</v>
      </c>
      <c r="B507" s="137" t="s">
        <v>405</v>
      </c>
      <c r="C507" s="138" t="s">
        <v>406</v>
      </c>
      <c r="D507" s="52"/>
      <c r="E507" s="138" t="s">
        <v>27</v>
      </c>
      <c r="F507" s="139" t="s">
        <v>152</v>
      </c>
      <c r="G507" s="138" t="s">
        <v>146</v>
      </c>
      <c r="H507" s="138" t="s">
        <v>21</v>
      </c>
      <c r="I507" s="140" t="s">
        <v>243</v>
      </c>
      <c r="J507" s="141">
        <f>2025-I507-4</f>
        <v>11</v>
      </c>
      <c r="K507" s="142">
        <v>1</v>
      </c>
      <c r="L507" s="142">
        <f>K507</f>
        <v>1</v>
      </c>
      <c r="M507" s="52" t="s">
        <v>54</v>
      </c>
      <c r="N507" s="143">
        <f>10000/3300</f>
        <v>3.0303030303030303</v>
      </c>
      <c r="O507" s="143">
        <f t="shared" si="54"/>
        <v>3.0303030303030303</v>
      </c>
      <c r="P507" s="144">
        <v>201000</v>
      </c>
      <c r="Q507" s="144">
        <f>+ROUND((L507*P507),-3)</f>
        <v>201000</v>
      </c>
      <c r="R507" s="145">
        <v>1</v>
      </c>
      <c r="S507" s="144">
        <f>+Q507*R507</f>
        <v>201000</v>
      </c>
      <c r="T507" s="52" t="s">
        <v>407</v>
      </c>
    </row>
    <row r="508" spans="1:20" s="19" customFormat="1" ht="41.25" customHeight="1" x14ac:dyDescent="0.3">
      <c r="A508" s="136" t="s">
        <v>107</v>
      </c>
      <c r="B508" s="137" t="s">
        <v>408</v>
      </c>
      <c r="C508" s="138" t="s">
        <v>409</v>
      </c>
      <c r="D508" s="52"/>
      <c r="E508" s="138" t="s">
        <v>27</v>
      </c>
      <c r="F508" s="139" t="s">
        <v>154</v>
      </c>
      <c r="G508" s="138" t="s">
        <v>146</v>
      </c>
      <c r="H508" s="138" t="s">
        <v>21</v>
      </c>
      <c r="I508" s="140" t="s">
        <v>147</v>
      </c>
      <c r="J508" s="141">
        <f>2025-I508-4</f>
        <v>21</v>
      </c>
      <c r="K508" s="142">
        <v>2</v>
      </c>
      <c r="L508" s="142">
        <f>K508</f>
        <v>2</v>
      </c>
      <c r="M508" s="52" t="s">
        <v>54</v>
      </c>
      <c r="N508" s="143">
        <f>10000/1563</f>
        <v>6.3979526551503518</v>
      </c>
      <c r="O508" s="143">
        <f t="shared" si="54"/>
        <v>12.795905310300704</v>
      </c>
      <c r="P508" s="144">
        <v>20000</v>
      </c>
      <c r="Q508" s="144">
        <f>+ROUND((L508*P508),-3)</f>
        <v>40000</v>
      </c>
      <c r="R508" s="145">
        <v>1</v>
      </c>
      <c r="S508" s="144">
        <f>+Q508*R508</f>
        <v>40000</v>
      </c>
      <c r="T508" s="52" t="s">
        <v>333</v>
      </c>
    </row>
    <row r="509" spans="1:20" s="19" customFormat="1" ht="34.5" customHeight="1" x14ac:dyDescent="0.3">
      <c r="A509" s="239"/>
      <c r="B509" s="166" t="s">
        <v>55</v>
      </c>
      <c r="C509" s="166"/>
      <c r="D509" s="240"/>
      <c r="E509" s="159"/>
      <c r="F509" s="167"/>
      <c r="G509" s="167"/>
      <c r="H509" s="167"/>
      <c r="I509" s="168"/>
      <c r="J509" s="167"/>
      <c r="K509" s="167"/>
      <c r="L509" s="167"/>
      <c r="M509" s="167"/>
      <c r="N509" s="241"/>
      <c r="O509" s="241">
        <f>SUM(O505:O508)</f>
        <v>128.00569552009091</v>
      </c>
      <c r="P509" s="167"/>
      <c r="Q509" s="167"/>
      <c r="R509" s="45"/>
      <c r="S509" s="45">
        <f>SUM(S505:S508)</f>
        <v>6843000</v>
      </c>
      <c r="T509" s="185"/>
    </row>
    <row r="510" spans="1:20" s="19" customFormat="1" ht="33.75" customHeight="1" x14ac:dyDescent="0.3">
      <c r="A510" s="272" t="s">
        <v>56</v>
      </c>
      <c r="B510" s="273" t="s">
        <v>201</v>
      </c>
      <c r="C510" s="233"/>
      <c r="D510" s="233"/>
      <c r="E510" s="233"/>
      <c r="F510" s="233"/>
      <c r="G510" s="233"/>
      <c r="H510" s="233"/>
      <c r="I510" s="234"/>
      <c r="J510" s="233"/>
      <c r="K510" s="235"/>
      <c r="L510" s="235"/>
      <c r="M510" s="233"/>
      <c r="N510" s="235"/>
      <c r="O510" s="233"/>
      <c r="P510" s="236"/>
      <c r="Q510" s="233"/>
      <c r="R510" s="233"/>
      <c r="S510" s="237">
        <f>S527</f>
        <v>45730000</v>
      </c>
      <c r="T510" s="233"/>
    </row>
    <row r="511" spans="1:20" s="19" customFormat="1" ht="18.75" customHeight="1" x14ac:dyDescent="0.3">
      <c r="A511" s="765"/>
      <c r="B511" s="767" t="s">
        <v>51</v>
      </c>
      <c r="C511" s="767" t="s">
        <v>58</v>
      </c>
      <c r="D511" s="768" t="s">
        <v>59</v>
      </c>
      <c r="E511" s="769" t="s">
        <v>60</v>
      </c>
      <c r="F511" s="769" t="s">
        <v>61</v>
      </c>
      <c r="G511" s="769" t="s">
        <v>62</v>
      </c>
      <c r="H511" s="769" t="s">
        <v>63</v>
      </c>
      <c r="I511" s="770" t="s">
        <v>64</v>
      </c>
      <c r="J511" s="757"/>
      <c r="K511" s="757"/>
      <c r="L511" s="757"/>
      <c r="M511" s="758"/>
      <c r="N511" s="771" t="s">
        <v>3</v>
      </c>
      <c r="O511" s="771" t="s">
        <v>65</v>
      </c>
      <c r="P511" s="771" t="s">
        <v>66</v>
      </c>
      <c r="Q511" s="771" t="s">
        <v>67</v>
      </c>
      <c r="R511" s="767" t="s">
        <v>68</v>
      </c>
      <c r="S511" s="767" t="s">
        <v>69</v>
      </c>
      <c r="T511" s="767" t="s">
        <v>70</v>
      </c>
    </row>
    <row r="512" spans="1:20" s="19" customFormat="1" ht="18.75" customHeight="1" x14ac:dyDescent="0.3">
      <c r="A512" s="766"/>
      <c r="B512" s="766"/>
      <c r="C512" s="766"/>
      <c r="D512" s="766"/>
      <c r="E512" s="766"/>
      <c r="F512" s="766"/>
      <c r="G512" s="766"/>
      <c r="H512" s="766"/>
      <c r="I512" s="168" t="s">
        <v>71</v>
      </c>
      <c r="J512" s="159" t="s">
        <v>72</v>
      </c>
      <c r="K512" s="159" t="s">
        <v>73</v>
      </c>
      <c r="L512" s="45" t="s">
        <v>74</v>
      </c>
      <c r="M512" s="204" t="s">
        <v>75</v>
      </c>
      <c r="N512" s="766"/>
      <c r="O512" s="766"/>
      <c r="P512" s="766"/>
      <c r="Q512" s="766"/>
      <c r="R512" s="766"/>
      <c r="S512" s="766"/>
      <c r="T512" s="766"/>
    </row>
    <row r="513" spans="1:20" s="19" customFormat="1" ht="94.5" customHeight="1" x14ac:dyDescent="0.3">
      <c r="A513" s="196" t="s">
        <v>5</v>
      </c>
      <c r="B513" s="49" t="s">
        <v>76</v>
      </c>
      <c r="C513" s="49" t="s">
        <v>77</v>
      </c>
      <c r="D513" s="49" t="s">
        <v>78</v>
      </c>
      <c r="E513" s="159" t="s">
        <v>79</v>
      </c>
      <c r="F513" s="159" t="s">
        <v>80</v>
      </c>
      <c r="G513" s="159" t="s">
        <v>81</v>
      </c>
      <c r="H513" s="45" t="s">
        <v>82</v>
      </c>
      <c r="I513" s="168" t="s">
        <v>83</v>
      </c>
      <c r="J513" s="242" t="s">
        <v>84</v>
      </c>
      <c r="K513" s="242" t="s">
        <v>85</v>
      </c>
      <c r="L513" s="49" t="s">
        <v>86</v>
      </c>
      <c r="M513" s="204" t="s">
        <v>87</v>
      </c>
      <c r="N513" s="159" t="s">
        <v>88</v>
      </c>
      <c r="O513" s="159" t="s">
        <v>89</v>
      </c>
      <c r="P513" s="159" t="s">
        <v>90</v>
      </c>
      <c r="Q513" s="159" t="s">
        <v>91</v>
      </c>
      <c r="R513" s="159" t="s">
        <v>92</v>
      </c>
      <c r="S513" s="159" t="s">
        <v>964</v>
      </c>
      <c r="T513" s="159" t="s">
        <v>15</v>
      </c>
    </row>
    <row r="514" spans="1:20" ht="40.5" customHeight="1" x14ac:dyDescent="0.3">
      <c r="A514" s="628">
        <v>1</v>
      </c>
      <c r="B514" s="498" t="s">
        <v>214</v>
      </c>
      <c r="C514" s="498" t="s">
        <v>410</v>
      </c>
      <c r="D514" s="499" t="s">
        <v>1021</v>
      </c>
      <c r="E514" s="502" t="s">
        <v>243</v>
      </c>
      <c r="F514" s="458"/>
      <c r="G514" s="457">
        <f t="shared" ref="G514:G526" si="55">2023-E514</f>
        <v>13</v>
      </c>
      <c r="H514" s="460" t="s">
        <v>95</v>
      </c>
      <c r="I514" s="501">
        <f>6.4*3.2</f>
        <v>20.480000000000004</v>
      </c>
      <c r="J514" s="461" t="s">
        <v>96</v>
      </c>
      <c r="K514" s="460">
        <f t="shared" ref="K514:K526" si="56">+I514-J514</f>
        <v>20.480000000000004</v>
      </c>
      <c r="L514" s="462">
        <v>0.99199999999999999</v>
      </c>
      <c r="M514" s="463">
        <f t="shared" ref="M514:M521" si="57">O514</f>
        <v>268000</v>
      </c>
      <c r="N514" s="464">
        <v>0.6</v>
      </c>
      <c r="O514" s="463">
        <v>268000</v>
      </c>
      <c r="P514" s="459">
        <f t="shared" ref="P514:P526" si="58">+ROUND((K514*L514*O514*N514),-3)</f>
        <v>3267000</v>
      </c>
      <c r="Q514" s="463" t="s">
        <v>97</v>
      </c>
      <c r="R514" s="463" t="s">
        <v>97</v>
      </c>
      <c r="S514" s="459">
        <f t="shared" ref="S514:S526" si="59">P514</f>
        <v>3267000</v>
      </c>
      <c r="T514" s="460" t="s">
        <v>166</v>
      </c>
    </row>
    <row r="515" spans="1:20" ht="57" customHeight="1" x14ac:dyDescent="0.3">
      <c r="A515" s="628">
        <v>2</v>
      </c>
      <c r="B515" s="498" t="s">
        <v>126</v>
      </c>
      <c r="C515" s="498" t="s">
        <v>411</v>
      </c>
      <c r="D515" s="499" t="s">
        <v>1037</v>
      </c>
      <c r="E515" s="502" t="s">
        <v>243</v>
      </c>
      <c r="F515" s="458"/>
      <c r="G515" s="457">
        <f t="shared" si="55"/>
        <v>13</v>
      </c>
      <c r="H515" s="460" t="s">
        <v>95</v>
      </c>
      <c r="I515" s="501">
        <f>0.5*0.3*6.4</f>
        <v>0.96</v>
      </c>
      <c r="J515" s="461" t="s">
        <v>96</v>
      </c>
      <c r="K515" s="460">
        <f t="shared" si="56"/>
        <v>0.96</v>
      </c>
      <c r="L515" s="462">
        <v>0.99199999999999999</v>
      </c>
      <c r="M515" s="463">
        <f t="shared" si="57"/>
        <v>2360000</v>
      </c>
      <c r="N515" s="464">
        <v>0.6</v>
      </c>
      <c r="O515" s="463">
        <v>2360000</v>
      </c>
      <c r="P515" s="459">
        <f t="shared" si="58"/>
        <v>1348000</v>
      </c>
      <c r="Q515" s="463" t="s">
        <v>97</v>
      </c>
      <c r="R515" s="463" t="s">
        <v>97</v>
      </c>
      <c r="S515" s="459">
        <f t="shared" si="59"/>
        <v>1348000</v>
      </c>
      <c r="T515" s="460" t="s">
        <v>288</v>
      </c>
    </row>
    <row r="516" spans="1:20" ht="123.75" customHeight="1" x14ac:dyDescent="0.3">
      <c r="A516" s="628">
        <v>3</v>
      </c>
      <c r="B516" s="498" t="s">
        <v>111</v>
      </c>
      <c r="C516" s="498" t="s">
        <v>1052</v>
      </c>
      <c r="D516" s="499" t="s">
        <v>1021</v>
      </c>
      <c r="E516" s="502" t="s">
        <v>412</v>
      </c>
      <c r="F516" s="458"/>
      <c r="G516" s="457">
        <f t="shared" si="55"/>
        <v>32</v>
      </c>
      <c r="H516" s="460" t="s">
        <v>95</v>
      </c>
      <c r="I516" s="501">
        <f>1.5*4.1</f>
        <v>6.1499999999999995</v>
      </c>
      <c r="J516" s="461" t="s">
        <v>96</v>
      </c>
      <c r="K516" s="460">
        <f t="shared" si="56"/>
        <v>6.1499999999999995</v>
      </c>
      <c r="L516" s="462">
        <v>0.99199999999999999</v>
      </c>
      <c r="M516" s="463">
        <v>1400000</v>
      </c>
      <c r="N516" s="464">
        <v>1</v>
      </c>
      <c r="O516" s="463">
        <f>M516*80%*90%</f>
        <v>1008000</v>
      </c>
      <c r="P516" s="459">
        <f t="shared" si="58"/>
        <v>6150000</v>
      </c>
      <c r="Q516" s="463" t="s">
        <v>97</v>
      </c>
      <c r="R516" s="463" t="s">
        <v>97</v>
      </c>
      <c r="S516" s="459">
        <f t="shared" si="59"/>
        <v>6150000</v>
      </c>
      <c r="T516" s="460" t="s">
        <v>1030</v>
      </c>
    </row>
    <row r="517" spans="1:20" ht="81" customHeight="1" x14ac:dyDescent="0.3">
      <c r="A517" s="628">
        <v>4</v>
      </c>
      <c r="B517" s="498" t="s">
        <v>93</v>
      </c>
      <c r="C517" s="498" t="s">
        <v>413</v>
      </c>
      <c r="D517" s="499" t="s">
        <v>1021</v>
      </c>
      <c r="E517" s="502" t="s">
        <v>243</v>
      </c>
      <c r="F517" s="458"/>
      <c r="G517" s="457">
        <f t="shared" si="55"/>
        <v>13</v>
      </c>
      <c r="H517" s="460" t="s">
        <v>95</v>
      </c>
      <c r="I517" s="501">
        <f>1.5*9</f>
        <v>13.5</v>
      </c>
      <c r="J517" s="461" t="s">
        <v>96</v>
      </c>
      <c r="K517" s="460">
        <f t="shared" si="56"/>
        <v>13.5</v>
      </c>
      <c r="L517" s="462">
        <v>0.99199999999999999</v>
      </c>
      <c r="M517" s="463">
        <f t="shared" si="57"/>
        <v>134000</v>
      </c>
      <c r="N517" s="464">
        <v>0.6</v>
      </c>
      <c r="O517" s="463">
        <v>134000</v>
      </c>
      <c r="P517" s="459">
        <f t="shared" si="58"/>
        <v>1077000</v>
      </c>
      <c r="Q517" s="463" t="s">
        <v>97</v>
      </c>
      <c r="R517" s="463" t="s">
        <v>97</v>
      </c>
      <c r="S517" s="459">
        <f t="shared" si="59"/>
        <v>1077000</v>
      </c>
      <c r="T517" s="460" t="s">
        <v>1027</v>
      </c>
    </row>
    <row r="518" spans="1:20" ht="48" customHeight="1" x14ac:dyDescent="0.3">
      <c r="A518" s="628" t="s">
        <v>101</v>
      </c>
      <c r="B518" s="498" t="s">
        <v>102</v>
      </c>
      <c r="C518" s="498" t="s">
        <v>414</v>
      </c>
      <c r="D518" s="499" t="s">
        <v>1037</v>
      </c>
      <c r="E518" s="502" t="s">
        <v>243</v>
      </c>
      <c r="F518" s="458"/>
      <c r="G518" s="457">
        <f t="shared" si="55"/>
        <v>13</v>
      </c>
      <c r="H518" s="460" t="s">
        <v>95</v>
      </c>
      <c r="I518" s="501">
        <f>0.2*0.3*9</f>
        <v>0.54</v>
      </c>
      <c r="J518" s="461" t="s">
        <v>96</v>
      </c>
      <c r="K518" s="460">
        <f t="shared" si="56"/>
        <v>0.54</v>
      </c>
      <c r="L518" s="462">
        <v>0.99199999999999999</v>
      </c>
      <c r="M518" s="463">
        <f t="shared" si="57"/>
        <v>1961000</v>
      </c>
      <c r="N518" s="464">
        <v>0.6</v>
      </c>
      <c r="O518" s="463">
        <v>1961000</v>
      </c>
      <c r="P518" s="459">
        <f t="shared" si="58"/>
        <v>630000</v>
      </c>
      <c r="Q518" s="463" t="s">
        <v>97</v>
      </c>
      <c r="R518" s="463" t="s">
        <v>97</v>
      </c>
      <c r="S518" s="459">
        <f t="shared" si="59"/>
        <v>630000</v>
      </c>
      <c r="T518" s="460" t="s">
        <v>415</v>
      </c>
    </row>
    <row r="519" spans="1:20" ht="182.25" customHeight="1" x14ac:dyDescent="0.3">
      <c r="A519" s="628">
        <v>5</v>
      </c>
      <c r="B519" s="498" t="s">
        <v>93</v>
      </c>
      <c r="C519" s="498" t="s">
        <v>1053</v>
      </c>
      <c r="D519" s="499" t="s">
        <v>1021</v>
      </c>
      <c r="E519" s="502" t="s">
        <v>243</v>
      </c>
      <c r="F519" s="458"/>
      <c r="G519" s="457">
        <f t="shared" si="55"/>
        <v>13</v>
      </c>
      <c r="H519" s="460" t="s">
        <v>95</v>
      </c>
      <c r="I519" s="501">
        <f>0.45*17.8</f>
        <v>8.01</v>
      </c>
      <c r="J519" s="461" t="s">
        <v>96</v>
      </c>
      <c r="K519" s="460">
        <f t="shared" si="56"/>
        <v>8.01</v>
      </c>
      <c r="L519" s="462">
        <v>0.99199999999999999</v>
      </c>
      <c r="M519" s="463">
        <v>1487000</v>
      </c>
      <c r="N519" s="464">
        <v>0.6</v>
      </c>
      <c r="O519" s="463">
        <f>M519*80%*90%</f>
        <v>1070640</v>
      </c>
      <c r="P519" s="459">
        <f t="shared" si="58"/>
        <v>5104000</v>
      </c>
      <c r="Q519" s="463" t="s">
        <v>97</v>
      </c>
      <c r="R519" s="463" t="s">
        <v>97</v>
      </c>
      <c r="S519" s="459">
        <f t="shared" si="59"/>
        <v>5104000</v>
      </c>
      <c r="T519" s="460" t="s">
        <v>1009</v>
      </c>
    </row>
    <row r="520" spans="1:20" ht="69.75" customHeight="1" x14ac:dyDescent="0.3">
      <c r="A520" s="628" t="s">
        <v>101</v>
      </c>
      <c r="B520" s="498" t="s">
        <v>102</v>
      </c>
      <c r="C520" s="498" t="s">
        <v>936</v>
      </c>
      <c r="D520" s="499" t="s">
        <v>1046</v>
      </c>
      <c r="E520" s="502" t="s">
        <v>243</v>
      </c>
      <c r="F520" s="458"/>
      <c r="G520" s="457">
        <f t="shared" si="55"/>
        <v>13</v>
      </c>
      <c r="H520" s="460" t="s">
        <v>95</v>
      </c>
      <c r="I520" s="501">
        <f>0.4*0.3*17.8</f>
        <v>2.1360000000000001</v>
      </c>
      <c r="J520" s="461" t="s">
        <v>96</v>
      </c>
      <c r="K520" s="460">
        <f t="shared" si="56"/>
        <v>2.1360000000000001</v>
      </c>
      <c r="L520" s="462">
        <v>0.99199999999999999</v>
      </c>
      <c r="M520" s="463">
        <v>1961000</v>
      </c>
      <c r="N520" s="464">
        <v>0.6</v>
      </c>
      <c r="O520" s="463">
        <f>M520</f>
        <v>1961000</v>
      </c>
      <c r="P520" s="459">
        <f t="shared" si="58"/>
        <v>2493000</v>
      </c>
      <c r="Q520" s="463" t="s">
        <v>97</v>
      </c>
      <c r="R520" s="463" t="s">
        <v>97</v>
      </c>
      <c r="S520" s="459">
        <f t="shared" si="59"/>
        <v>2493000</v>
      </c>
      <c r="T520" s="460" t="s">
        <v>415</v>
      </c>
    </row>
    <row r="521" spans="1:20" ht="41.25" customHeight="1" x14ac:dyDescent="0.3">
      <c r="A521" s="628">
        <v>6</v>
      </c>
      <c r="B521" s="498" t="s">
        <v>99</v>
      </c>
      <c r="C521" s="498" t="s">
        <v>416</v>
      </c>
      <c r="D521" s="499" t="s">
        <v>1037</v>
      </c>
      <c r="E521" s="502" t="s">
        <v>243</v>
      </c>
      <c r="F521" s="458"/>
      <c r="G521" s="457">
        <f t="shared" si="55"/>
        <v>13</v>
      </c>
      <c r="H521" s="460" t="s">
        <v>95</v>
      </c>
      <c r="I521" s="501">
        <f>(0.5*0.5*3)*2</f>
        <v>1.5</v>
      </c>
      <c r="J521" s="461" t="s">
        <v>96</v>
      </c>
      <c r="K521" s="460">
        <f t="shared" si="56"/>
        <v>1.5</v>
      </c>
      <c r="L521" s="462">
        <v>0.99199999999999999</v>
      </c>
      <c r="M521" s="463">
        <f t="shared" si="57"/>
        <v>2556000</v>
      </c>
      <c r="N521" s="464">
        <v>0.6</v>
      </c>
      <c r="O521" s="463">
        <v>2556000</v>
      </c>
      <c r="P521" s="459">
        <f t="shared" si="58"/>
        <v>2282000</v>
      </c>
      <c r="Q521" s="463" t="s">
        <v>97</v>
      </c>
      <c r="R521" s="463" t="s">
        <v>97</v>
      </c>
      <c r="S521" s="459">
        <f t="shared" si="59"/>
        <v>2282000</v>
      </c>
      <c r="T521" s="460" t="s">
        <v>169</v>
      </c>
    </row>
    <row r="522" spans="1:20" ht="63.75" customHeight="1" x14ac:dyDescent="0.3">
      <c r="A522" s="628">
        <v>7</v>
      </c>
      <c r="B522" s="498" t="s">
        <v>121</v>
      </c>
      <c r="C522" s="498" t="s">
        <v>417</v>
      </c>
      <c r="D522" s="499" t="s">
        <v>1021</v>
      </c>
      <c r="E522" s="502" t="s">
        <v>243</v>
      </c>
      <c r="F522" s="458"/>
      <c r="G522" s="457">
        <f t="shared" si="55"/>
        <v>13</v>
      </c>
      <c r="H522" s="460" t="s">
        <v>95</v>
      </c>
      <c r="I522" s="501">
        <f>(0.5*2.5*4)*2</f>
        <v>10</v>
      </c>
      <c r="J522" s="461" t="s">
        <v>96</v>
      </c>
      <c r="K522" s="629">
        <f t="shared" si="56"/>
        <v>10</v>
      </c>
      <c r="L522" s="462">
        <v>0.99199999999999999</v>
      </c>
      <c r="M522" s="463">
        <v>437000</v>
      </c>
      <c r="N522" s="464">
        <v>0.6</v>
      </c>
      <c r="O522" s="463">
        <f>M522</f>
        <v>437000</v>
      </c>
      <c r="P522" s="459">
        <f t="shared" si="58"/>
        <v>2601000</v>
      </c>
      <c r="Q522" s="463" t="s">
        <v>97</v>
      </c>
      <c r="R522" s="463" t="s">
        <v>97</v>
      </c>
      <c r="S522" s="459">
        <f t="shared" si="59"/>
        <v>2601000</v>
      </c>
      <c r="T522" s="460" t="s">
        <v>418</v>
      </c>
    </row>
    <row r="523" spans="1:20" ht="37.5" customHeight="1" x14ac:dyDescent="0.3">
      <c r="A523" s="628">
        <v>8</v>
      </c>
      <c r="B523" s="498" t="s">
        <v>105</v>
      </c>
      <c r="C523" s="498" t="s">
        <v>419</v>
      </c>
      <c r="D523" s="499" t="s">
        <v>1021</v>
      </c>
      <c r="E523" s="502" t="s">
        <v>243</v>
      </c>
      <c r="F523" s="458"/>
      <c r="G523" s="457">
        <f t="shared" si="55"/>
        <v>13</v>
      </c>
      <c r="H523" s="460" t="s">
        <v>95</v>
      </c>
      <c r="I523" s="501">
        <f>3.5*2</f>
        <v>7</v>
      </c>
      <c r="J523" s="461" t="s">
        <v>96</v>
      </c>
      <c r="K523" s="460">
        <f t="shared" si="56"/>
        <v>7</v>
      </c>
      <c r="L523" s="462">
        <v>0.99199999999999999</v>
      </c>
      <c r="M523" s="463">
        <f>O523</f>
        <v>835000</v>
      </c>
      <c r="N523" s="464">
        <v>0.6</v>
      </c>
      <c r="O523" s="463">
        <v>835000</v>
      </c>
      <c r="P523" s="459">
        <f t="shared" si="58"/>
        <v>3479000</v>
      </c>
      <c r="Q523" s="463" t="s">
        <v>97</v>
      </c>
      <c r="R523" s="463" t="s">
        <v>97</v>
      </c>
      <c r="S523" s="459">
        <f t="shared" si="59"/>
        <v>3479000</v>
      </c>
      <c r="T523" s="460" t="s">
        <v>174</v>
      </c>
    </row>
    <row r="524" spans="1:20" ht="31.5" x14ac:dyDescent="0.3">
      <c r="A524" s="628">
        <v>9</v>
      </c>
      <c r="B524" s="498" t="s">
        <v>113</v>
      </c>
      <c r="C524" s="498" t="s">
        <v>420</v>
      </c>
      <c r="D524" s="499" t="s">
        <v>1021</v>
      </c>
      <c r="E524" s="502" t="s">
        <v>243</v>
      </c>
      <c r="F524" s="458"/>
      <c r="G524" s="457">
        <f t="shared" si="55"/>
        <v>13</v>
      </c>
      <c r="H524" s="460" t="s">
        <v>95</v>
      </c>
      <c r="I524" s="501">
        <f>10.5*2.7</f>
        <v>28.35</v>
      </c>
      <c r="J524" s="461" t="s">
        <v>96</v>
      </c>
      <c r="K524" s="460">
        <f t="shared" si="56"/>
        <v>28.35</v>
      </c>
      <c r="L524" s="462">
        <v>0.99199999999999999</v>
      </c>
      <c r="M524" s="463">
        <f>O524</f>
        <v>418000</v>
      </c>
      <c r="N524" s="464">
        <v>0.6</v>
      </c>
      <c r="O524" s="463">
        <v>418000</v>
      </c>
      <c r="P524" s="459">
        <f t="shared" si="58"/>
        <v>7053000</v>
      </c>
      <c r="Q524" s="463" t="s">
        <v>97</v>
      </c>
      <c r="R524" s="463" t="s">
        <v>97</v>
      </c>
      <c r="S524" s="459">
        <f t="shared" si="59"/>
        <v>7053000</v>
      </c>
      <c r="T524" s="460" t="s">
        <v>211</v>
      </c>
    </row>
    <row r="525" spans="1:20" ht="74.25" customHeight="1" x14ac:dyDescent="0.3">
      <c r="A525" s="628">
        <v>10</v>
      </c>
      <c r="B525" s="498" t="s">
        <v>126</v>
      </c>
      <c r="C525" s="498" t="s">
        <v>421</v>
      </c>
      <c r="D525" s="499" t="s">
        <v>1037</v>
      </c>
      <c r="E525" s="502" t="s">
        <v>243</v>
      </c>
      <c r="F525" s="458"/>
      <c r="G525" s="457">
        <f t="shared" si="55"/>
        <v>13</v>
      </c>
      <c r="H525" s="460" t="s">
        <v>95</v>
      </c>
      <c r="I525" s="501">
        <f>1.9*2.5*0.4</f>
        <v>1.9000000000000001</v>
      </c>
      <c r="J525" s="461" t="s">
        <v>96</v>
      </c>
      <c r="K525" s="460">
        <f t="shared" si="56"/>
        <v>1.9000000000000001</v>
      </c>
      <c r="L525" s="462">
        <v>0.99199999999999999</v>
      </c>
      <c r="M525" s="463">
        <f>O525</f>
        <v>2360000</v>
      </c>
      <c r="N525" s="464">
        <v>0.6</v>
      </c>
      <c r="O525" s="463">
        <v>2360000</v>
      </c>
      <c r="P525" s="459">
        <f t="shared" si="58"/>
        <v>2669000</v>
      </c>
      <c r="Q525" s="463" t="s">
        <v>97</v>
      </c>
      <c r="R525" s="463" t="s">
        <v>97</v>
      </c>
      <c r="S525" s="459">
        <f t="shared" si="59"/>
        <v>2669000</v>
      </c>
      <c r="T525" s="460" t="s">
        <v>288</v>
      </c>
    </row>
    <row r="526" spans="1:20" ht="45" customHeight="1" x14ac:dyDescent="0.3">
      <c r="A526" s="628">
        <v>11</v>
      </c>
      <c r="B526" s="498" t="s">
        <v>120</v>
      </c>
      <c r="C526" s="498" t="s">
        <v>422</v>
      </c>
      <c r="D526" s="499" t="s">
        <v>1021</v>
      </c>
      <c r="E526" s="502" t="s">
        <v>243</v>
      </c>
      <c r="F526" s="458"/>
      <c r="G526" s="457">
        <f t="shared" si="55"/>
        <v>13</v>
      </c>
      <c r="H526" s="460" t="s">
        <v>95</v>
      </c>
      <c r="I526" s="501">
        <f>2.5*19</f>
        <v>47.5</v>
      </c>
      <c r="J526" s="461" t="s">
        <v>96</v>
      </c>
      <c r="K526" s="460">
        <f t="shared" si="56"/>
        <v>47.5</v>
      </c>
      <c r="L526" s="462">
        <v>0.99199999999999999</v>
      </c>
      <c r="M526" s="463">
        <f>O526</f>
        <v>268000</v>
      </c>
      <c r="N526" s="464">
        <v>0.6</v>
      </c>
      <c r="O526" s="463">
        <v>268000</v>
      </c>
      <c r="P526" s="459">
        <f t="shared" si="58"/>
        <v>7577000</v>
      </c>
      <c r="Q526" s="463" t="s">
        <v>97</v>
      </c>
      <c r="R526" s="463" t="s">
        <v>97</v>
      </c>
      <c r="S526" s="459">
        <f t="shared" si="59"/>
        <v>7577000</v>
      </c>
      <c r="T526" s="460" t="s">
        <v>166</v>
      </c>
    </row>
    <row r="527" spans="1:20" s="19" customFormat="1" ht="36.75" customHeight="1" x14ac:dyDescent="0.3">
      <c r="A527" s="165"/>
      <c r="B527" s="166" t="s">
        <v>55</v>
      </c>
      <c r="C527" s="166"/>
      <c r="D527" s="159"/>
      <c r="E527" s="159"/>
      <c r="F527" s="167"/>
      <c r="G527" s="167"/>
      <c r="H527" s="167"/>
      <c r="I527" s="168"/>
      <c r="J527" s="167"/>
      <c r="K527" s="167"/>
      <c r="L527" s="167"/>
      <c r="M527" s="167"/>
      <c r="N527" s="167"/>
      <c r="O527" s="167"/>
      <c r="P527" s="167"/>
      <c r="Q527" s="167"/>
      <c r="R527" s="167"/>
      <c r="S527" s="45">
        <f>SUM(S514:S526)</f>
        <v>45730000</v>
      </c>
      <c r="T527" s="167"/>
    </row>
    <row r="528" spans="1:20" s="19" customFormat="1" ht="30" customHeight="1" x14ac:dyDescent="0.3">
      <c r="A528" s="171" t="s">
        <v>131</v>
      </c>
      <c r="B528" s="172" t="s">
        <v>132</v>
      </c>
      <c r="C528" s="173"/>
      <c r="D528" s="466"/>
      <c r="E528" s="466"/>
      <c r="F528" s="466"/>
      <c r="G528" s="466"/>
      <c r="H528" s="466"/>
      <c r="I528" s="467"/>
      <c r="J528" s="466"/>
      <c r="K528" s="468"/>
      <c r="L528" s="468"/>
      <c r="M528" s="466"/>
      <c r="N528" s="468"/>
      <c r="O528" s="466"/>
      <c r="P528" s="469"/>
      <c r="Q528" s="466"/>
      <c r="R528" s="466"/>
      <c r="S528" s="470"/>
      <c r="T528" s="466"/>
    </row>
    <row r="529" spans="1:20" s="19" customFormat="1" ht="30" customHeight="1" x14ac:dyDescent="0.3">
      <c r="A529" s="171" t="s">
        <v>133</v>
      </c>
      <c r="B529" s="172" t="s">
        <v>134</v>
      </c>
      <c r="C529" s="174"/>
      <c r="D529" s="174"/>
      <c r="E529" s="174"/>
      <c r="F529" s="174"/>
      <c r="G529" s="174"/>
      <c r="H529" s="174"/>
      <c r="I529" s="175"/>
      <c r="J529" s="174"/>
      <c r="K529" s="176"/>
      <c r="L529" s="176"/>
      <c r="M529" s="174"/>
      <c r="N529" s="176"/>
      <c r="O529" s="174"/>
      <c r="P529" s="177"/>
      <c r="Q529" s="174"/>
      <c r="R529" s="174"/>
      <c r="S529" s="174"/>
      <c r="T529" s="174"/>
    </row>
    <row r="530" spans="1:20" s="19" customFormat="1" ht="30" customHeight="1" x14ac:dyDescent="0.3">
      <c r="A530" s="178" t="s">
        <v>135</v>
      </c>
      <c r="B530" s="756" t="s">
        <v>423</v>
      </c>
      <c r="C530" s="757"/>
      <c r="D530" s="757"/>
      <c r="E530" s="757"/>
      <c r="F530" s="757"/>
      <c r="G530" s="757"/>
      <c r="H530" s="757"/>
      <c r="I530" s="757"/>
      <c r="J530" s="757"/>
      <c r="K530" s="757"/>
      <c r="L530" s="757"/>
      <c r="M530" s="757"/>
      <c r="N530" s="757"/>
      <c r="O530" s="757"/>
      <c r="P530" s="757"/>
      <c r="Q530" s="757"/>
      <c r="R530" s="758"/>
      <c r="S530" s="29">
        <f>+S527+S509</f>
        <v>52573000</v>
      </c>
      <c r="T530" s="174" t="s">
        <v>137</v>
      </c>
    </row>
    <row r="531" spans="1:20" ht="32.25" customHeight="1" x14ac:dyDescent="0.3">
      <c r="A531" s="474"/>
      <c r="B531" s="829" t="s">
        <v>424</v>
      </c>
      <c r="C531" s="773"/>
      <c r="D531" s="773"/>
      <c r="E531" s="773"/>
      <c r="F531" s="773"/>
      <c r="G531" s="773"/>
      <c r="H531" s="773"/>
      <c r="I531" s="773"/>
      <c r="J531" s="773"/>
      <c r="K531" s="773"/>
      <c r="L531" s="773"/>
      <c r="M531" s="773"/>
      <c r="N531" s="773"/>
      <c r="O531" s="773"/>
      <c r="P531" s="773"/>
      <c r="Q531" s="773"/>
      <c r="R531" s="773"/>
      <c r="S531" s="773"/>
      <c r="T531" s="474"/>
    </row>
    <row r="532" spans="1:20" ht="18.75" customHeight="1" x14ac:dyDescent="0.3">
      <c r="A532" s="474"/>
      <c r="B532" s="772" t="s">
        <v>1</v>
      </c>
      <c r="C532" s="773"/>
      <c r="D532" s="773"/>
      <c r="E532" s="773"/>
      <c r="F532" s="773"/>
      <c r="G532" s="773"/>
      <c r="H532" s="773"/>
      <c r="I532" s="773"/>
      <c r="J532" s="773"/>
      <c r="K532" s="773"/>
      <c r="L532" s="773"/>
      <c r="M532" s="773"/>
      <c r="N532" s="773"/>
      <c r="O532" s="773"/>
      <c r="P532" s="773"/>
      <c r="Q532" s="773"/>
      <c r="R532" s="773"/>
      <c r="S532" s="773"/>
      <c r="T532" s="474"/>
    </row>
    <row r="533" spans="1:20" ht="18.75" customHeight="1" x14ac:dyDescent="0.3">
      <c r="A533" s="474"/>
      <c r="B533" s="772" t="s">
        <v>2</v>
      </c>
      <c r="C533" s="773"/>
      <c r="D533" s="773"/>
      <c r="E533" s="773"/>
      <c r="F533" s="773"/>
      <c r="G533" s="773"/>
      <c r="H533" s="773"/>
      <c r="I533" s="773"/>
      <c r="J533" s="773"/>
      <c r="K533" s="773"/>
      <c r="L533" s="773"/>
      <c r="M533" s="773"/>
      <c r="N533" s="773"/>
      <c r="O533" s="773"/>
      <c r="P533" s="773"/>
      <c r="Q533" s="773"/>
      <c r="R533" s="773"/>
      <c r="S533" s="773"/>
      <c r="T533" s="474"/>
    </row>
    <row r="534" spans="1:20" ht="18.75" customHeight="1" x14ac:dyDescent="0.3">
      <c r="A534" s="475"/>
      <c r="B534" s="809" t="str">
        <f>B492</f>
        <v>(Kèm theo Quyết định số     /QĐ-UBND ngày     tháng     năm 2026 của Ủy ban nhân dân xã Thuận An)</v>
      </c>
      <c r="C534" s="773"/>
      <c r="D534" s="773"/>
      <c r="E534" s="773"/>
      <c r="F534" s="773"/>
      <c r="G534" s="773"/>
      <c r="H534" s="773"/>
      <c r="I534" s="773"/>
      <c r="J534" s="773"/>
      <c r="K534" s="773"/>
      <c r="L534" s="773"/>
      <c r="M534" s="773"/>
      <c r="N534" s="773"/>
      <c r="O534" s="773"/>
      <c r="P534" s="773"/>
      <c r="Q534" s="773"/>
      <c r="R534" s="773"/>
      <c r="S534" s="773"/>
      <c r="T534" s="475"/>
    </row>
    <row r="535" spans="1:20" s="19" customFormat="1" ht="45" customHeight="1" thickBot="1" x14ac:dyDescent="0.35">
      <c r="A535" s="272" t="s">
        <v>3</v>
      </c>
      <c r="B535" s="273" t="s">
        <v>4</v>
      </c>
      <c r="C535" s="233"/>
      <c r="D535" s="233"/>
      <c r="E535" s="233"/>
      <c r="F535" s="233"/>
      <c r="G535" s="233"/>
      <c r="H535" s="233"/>
      <c r="I535" s="234"/>
      <c r="J535" s="233"/>
      <c r="K535" s="235"/>
      <c r="L535" s="235"/>
      <c r="M535" s="233"/>
      <c r="N535" s="235"/>
      <c r="O535" s="233"/>
      <c r="P535" s="236"/>
      <c r="Q535" s="233"/>
      <c r="R535" s="233"/>
      <c r="S535" s="237"/>
      <c r="T535" s="233"/>
    </row>
    <row r="536" spans="1:20" s="19" customFormat="1" ht="45" customHeight="1" x14ac:dyDescent="0.3">
      <c r="A536" s="810" t="s">
        <v>5</v>
      </c>
      <c r="B536" s="812" t="s">
        <v>6</v>
      </c>
      <c r="C536" s="814" t="s">
        <v>7</v>
      </c>
      <c r="D536" s="817" t="s">
        <v>959</v>
      </c>
      <c r="E536" s="818"/>
      <c r="F536" s="819"/>
      <c r="G536" s="817" t="s">
        <v>960</v>
      </c>
      <c r="H536" s="818"/>
      <c r="I536" s="819"/>
      <c r="J536" s="817" t="s">
        <v>961</v>
      </c>
      <c r="K536" s="818"/>
      <c r="L536" s="819"/>
      <c r="M536" s="820" t="s">
        <v>8</v>
      </c>
      <c r="N536" s="823" t="s">
        <v>9</v>
      </c>
      <c r="O536" s="823" t="s">
        <v>10</v>
      </c>
      <c r="P536" s="824" t="s">
        <v>11</v>
      </c>
      <c r="Q536" s="824" t="s">
        <v>12</v>
      </c>
      <c r="R536" s="824" t="s">
        <v>13</v>
      </c>
      <c r="S536" s="812" t="s">
        <v>14</v>
      </c>
      <c r="T536" s="825" t="s">
        <v>15</v>
      </c>
    </row>
    <row r="537" spans="1:20" s="19" customFormat="1" ht="45.75" customHeight="1" x14ac:dyDescent="0.3">
      <c r="A537" s="811"/>
      <c r="B537" s="813"/>
      <c r="C537" s="815"/>
      <c r="D537" s="827" t="s">
        <v>16</v>
      </c>
      <c r="E537" s="803" t="s">
        <v>17</v>
      </c>
      <c r="F537" s="828"/>
      <c r="G537" s="827" t="s">
        <v>16</v>
      </c>
      <c r="H537" s="803" t="s">
        <v>17</v>
      </c>
      <c r="I537" s="828"/>
      <c r="J537" s="800" t="s">
        <v>18</v>
      </c>
      <c r="K537" s="803" t="s">
        <v>17</v>
      </c>
      <c r="L537" s="828"/>
      <c r="M537" s="821"/>
      <c r="N537" s="813"/>
      <c r="O537" s="813"/>
      <c r="P537" s="813"/>
      <c r="Q537" s="813"/>
      <c r="R537" s="813"/>
      <c r="S537" s="813"/>
      <c r="T537" s="826"/>
    </row>
    <row r="538" spans="1:20" s="19" customFormat="1" ht="59.25" customHeight="1" x14ac:dyDescent="0.3">
      <c r="A538" s="801"/>
      <c r="B538" s="766"/>
      <c r="C538" s="816"/>
      <c r="D538" s="801"/>
      <c r="E538" s="167" t="s">
        <v>962</v>
      </c>
      <c r="F538" s="185" t="s">
        <v>963</v>
      </c>
      <c r="G538" s="801"/>
      <c r="H538" s="167" t="s">
        <v>962</v>
      </c>
      <c r="I538" s="186" t="s">
        <v>963</v>
      </c>
      <c r="J538" s="801"/>
      <c r="K538" s="167" t="s">
        <v>962</v>
      </c>
      <c r="L538" s="185" t="s">
        <v>963</v>
      </c>
      <c r="M538" s="822"/>
      <c r="N538" s="766"/>
      <c r="O538" s="766"/>
      <c r="P538" s="766"/>
      <c r="Q538" s="766"/>
      <c r="R538" s="766"/>
      <c r="S538" s="766"/>
      <c r="T538" s="808"/>
    </row>
    <row r="539" spans="1:20" s="19" customFormat="1" ht="118.5" customHeight="1" x14ac:dyDescent="0.3">
      <c r="A539" s="179" t="s">
        <v>425</v>
      </c>
      <c r="B539" s="44" t="s">
        <v>426</v>
      </c>
      <c r="C539" s="49" t="s">
        <v>427</v>
      </c>
      <c r="D539" s="180">
        <f>E539+F539</f>
        <v>945</v>
      </c>
      <c r="E539" s="143">
        <v>215</v>
      </c>
      <c r="F539" s="181">
        <v>730</v>
      </c>
      <c r="G539" s="180">
        <f>+H539+I539</f>
        <v>945</v>
      </c>
      <c r="H539" s="143">
        <v>215</v>
      </c>
      <c r="I539" s="182">
        <v>730</v>
      </c>
      <c r="J539" s="180">
        <v>154.5</v>
      </c>
      <c r="K539" s="143">
        <v>0</v>
      </c>
      <c r="L539" s="181">
        <f>J539</f>
        <v>154.5</v>
      </c>
      <c r="M539" s="377">
        <v>0</v>
      </c>
      <c r="N539" s="183">
        <f>L539/F539</f>
        <v>0.21164383561643835</v>
      </c>
      <c r="O539" s="142" t="s">
        <v>21</v>
      </c>
      <c r="P539" s="144" t="s">
        <v>401</v>
      </c>
      <c r="Q539" s="144" t="s">
        <v>23</v>
      </c>
      <c r="R539" s="138" t="s">
        <v>24</v>
      </c>
      <c r="S539" s="138" t="s">
        <v>21</v>
      </c>
      <c r="T539" s="184" t="s">
        <v>402</v>
      </c>
    </row>
    <row r="540" spans="1:20" s="19" customFormat="1" ht="19.5" x14ac:dyDescent="0.3">
      <c r="A540" s="272" t="s">
        <v>27</v>
      </c>
      <c r="B540" s="273" t="s">
        <v>777</v>
      </c>
      <c r="C540" s="233"/>
      <c r="D540" s="233"/>
      <c r="E540" s="233"/>
      <c r="F540" s="233"/>
      <c r="G540" s="233"/>
      <c r="H540" s="233"/>
      <c r="I540" s="234"/>
      <c r="J540" s="233"/>
      <c r="K540" s="235"/>
      <c r="L540" s="235"/>
      <c r="M540" s="233"/>
      <c r="N540" s="235"/>
      <c r="O540" s="233"/>
      <c r="P540" s="236"/>
      <c r="Q540" s="233"/>
      <c r="R540" s="233"/>
      <c r="S540" s="233"/>
      <c r="T540" s="233"/>
    </row>
    <row r="541" spans="1:20" s="19" customFormat="1" ht="48.75" customHeight="1" x14ac:dyDescent="0.3">
      <c r="A541" s="781" t="s">
        <v>5</v>
      </c>
      <c r="B541" s="783" t="s">
        <v>663</v>
      </c>
      <c r="C541" s="783" t="s">
        <v>664</v>
      </c>
      <c r="D541" s="785" t="s">
        <v>665</v>
      </c>
      <c r="E541" s="786"/>
      <c r="F541" s="786"/>
      <c r="G541" s="787"/>
      <c r="H541" s="788" t="s">
        <v>666</v>
      </c>
      <c r="I541" s="790" t="s">
        <v>667</v>
      </c>
      <c r="J541" s="760"/>
      <c r="K541" s="791"/>
      <c r="L541" s="792" t="s">
        <v>668</v>
      </c>
      <c r="M541" s="793"/>
      <c r="N541" s="794" t="s">
        <v>43</v>
      </c>
      <c r="O541" s="783" t="s">
        <v>669</v>
      </c>
      <c r="P541" s="796" t="s">
        <v>670</v>
      </c>
      <c r="Q541" s="796" t="s">
        <v>42</v>
      </c>
      <c r="R541" s="783" t="s">
        <v>671</v>
      </c>
      <c r="S541" s="783" t="s">
        <v>44</v>
      </c>
      <c r="T541" s="798" t="s">
        <v>15</v>
      </c>
    </row>
    <row r="542" spans="1:20" s="19" customFormat="1" ht="100.5" customHeight="1" x14ac:dyDescent="0.3">
      <c r="A542" s="782"/>
      <c r="B542" s="784"/>
      <c r="C542" s="784"/>
      <c r="D542" s="407" t="s">
        <v>672</v>
      </c>
      <c r="E542" s="407" t="s">
        <v>673</v>
      </c>
      <c r="F542" s="407" t="s">
        <v>759</v>
      </c>
      <c r="G542" s="407" t="s">
        <v>17</v>
      </c>
      <c r="H542" s="789"/>
      <c r="I542" s="125" t="s">
        <v>674</v>
      </c>
      <c r="J542" s="418" t="s">
        <v>675</v>
      </c>
      <c r="K542" s="81" t="s">
        <v>676</v>
      </c>
      <c r="L542" s="82" t="s">
        <v>677</v>
      </c>
      <c r="M542" s="83" t="s">
        <v>678</v>
      </c>
      <c r="N542" s="795"/>
      <c r="O542" s="784"/>
      <c r="P542" s="797"/>
      <c r="Q542" s="797"/>
      <c r="R542" s="784"/>
      <c r="S542" s="784"/>
      <c r="T542" s="799"/>
    </row>
    <row r="543" spans="1:20" s="19" customFormat="1" ht="78.75" customHeight="1" x14ac:dyDescent="0.3">
      <c r="A543" s="226" t="s">
        <v>19</v>
      </c>
      <c r="B543" s="227" t="s">
        <v>783</v>
      </c>
      <c r="C543" s="877" t="s">
        <v>798</v>
      </c>
      <c r="D543" s="840" t="s">
        <v>110</v>
      </c>
      <c r="E543" s="840" t="s">
        <v>680</v>
      </c>
      <c r="F543" s="842">
        <v>71.2</v>
      </c>
      <c r="G543" s="420" t="s">
        <v>791</v>
      </c>
      <c r="H543" s="844" t="s">
        <v>799</v>
      </c>
      <c r="I543" s="125">
        <v>39.4</v>
      </c>
      <c r="J543" s="419">
        <v>0</v>
      </c>
      <c r="K543" s="419">
        <f>I543+J543</f>
        <v>39.4</v>
      </c>
      <c r="L543" s="82">
        <v>0</v>
      </c>
      <c r="M543" s="83"/>
      <c r="N543" s="230">
        <v>1</v>
      </c>
      <c r="O543" s="423">
        <v>1</v>
      </c>
      <c r="P543" s="231">
        <v>7886000</v>
      </c>
      <c r="Q543" s="231">
        <f>+ROUND((P543*N543*K543),-3)</f>
        <v>310708000</v>
      </c>
      <c r="R543" s="231">
        <f>-ROUND((38000*J543*0.5%),-3)</f>
        <v>0</v>
      </c>
      <c r="S543" s="408">
        <f>+Q543+R543</f>
        <v>310708000</v>
      </c>
      <c r="T543" s="830" t="s">
        <v>833</v>
      </c>
    </row>
    <row r="544" spans="1:20" s="19" customFormat="1" ht="78.75" customHeight="1" x14ac:dyDescent="0.3">
      <c r="A544" s="226" t="s">
        <v>98</v>
      </c>
      <c r="B544" s="227" t="s">
        <v>679</v>
      </c>
      <c r="C544" s="878"/>
      <c r="D544" s="841"/>
      <c r="E544" s="841"/>
      <c r="F544" s="843"/>
      <c r="G544" s="359" t="s">
        <v>681</v>
      </c>
      <c r="H544" s="845"/>
      <c r="I544" s="125">
        <v>30</v>
      </c>
      <c r="J544" s="419">
        <v>0</v>
      </c>
      <c r="K544" s="419">
        <f>I544+J544</f>
        <v>30</v>
      </c>
      <c r="L544" s="82">
        <v>1.8</v>
      </c>
      <c r="M544" s="83" t="s">
        <v>734</v>
      </c>
      <c r="N544" s="230">
        <v>1</v>
      </c>
      <c r="O544" s="423">
        <v>1</v>
      </c>
      <c r="P544" s="231">
        <v>1027000</v>
      </c>
      <c r="Q544" s="231">
        <f>+ROUND((P544*N544*K544),-3)</f>
        <v>30810000</v>
      </c>
      <c r="R544" s="231">
        <f>-ROUND((38000*J544*0.5%),-3)</f>
        <v>0</v>
      </c>
      <c r="S544" s="408">
        <f>+Q544+R544</f>
        <v>30810000</v>
      </c>
      <c r="T544" s="831"/>
    </row>
    <row r="545" spans="1:20" s="19" customFormat="1" ht="19.5" x14ac:dyDescent="0.3">
      <c r="A545" s="272" t="s">
        <v>28</v>
      </c>
      <c r="B545" s="273" t="s">
        <v>141</v>
      </c>
      <c r="C545" s="233"/>
      <c r="D545" s="233"/>
      <c r="E545" s="233"/>
      <c r="F545" s="233"/>
      <c r="G545" s="233"/>
      <c r="H545" s="233"/>
      <c r="I545" s="234"/>
      <c r="J545" s="233"/>
      <c r="K545" s="235"/>
      <c r="L545" s="235"/>
      <c r="M545" s="233"/>
      <c r="N545" s="235"/>
      <c r="O545" s="233"/>
      <c r="P545" s="236"/>
      <c r="Q545" s="237"/>
      <c r="R545" s="237"/>
      <c r="S545" s="203">
        <f>S554</f>
        <v>975000</v>
      </c>
      <c r="T545" s="233"/>
    </row>
    <row r="546" spans="1:20" s="19" customFormat="1" ht="46.5" customHeight="1" x14ac:dyDescent="0.3">
      <c r="A546" s="800" t="s">
        <v>5</v>
      </c>
      <c r="B546" s="802" t="s">
        <v>30</v>
      </c>
      <c r="C546" s="802" t="s">
        <v>31</v>
      </c>
      <c r="D546" s="802" t="s">
        <v>32</v>
      </c>
      <c r="E546" s="803" t="s">
        <v>33</v>
      </c>
      <c r="F546" s="758"/>
      <c r="G546" s="802" t="s">
        <v>34</v>
      </c>
      <c r="H546" s="802" t="s">
        <v>35</v>
      </c>
      <c r="I546" s="804" t="s">
        <v>36</v>
      </c>
      <c r="J546" s="758"/>
      <c r="K546" s="769" t="s">
        <v>37</v>
      </c>
      <c r="L546" s="769" t="s">
        <v>38</v>
      </c>
      <c r="M546" s="805" t="s">
        <v>39</v>
      </c>
      <c r="N546" s="802" t="s">
        <v>839</v>
      </c>
      <c r="O546" s="802" t="s">
        <v>967</v>
      </c>
      <c r="P546" s="806" t="s">
        <v>41</v>
      </c>
      <c r="Q546" s="806" t="s">
        <v>42</v>
      </c>
      <c r="R546" s="802" t="s">
        <v>43</v>
      </c>
      <c r="S546" s="802" t="s">
        <v>44</v>
      </c>
      <c r="T546" s="807" t="s">
        <v>15</v>
      </c>
    </row>
    <row r="547" spans="1:20" s="19" customFormat="1" ht="68.25" customHeight="1" x14ac:dyDescent="0.3">
      <c r="A547" s="801"/>
      <c r="B547" s="766"/>
      <c r="C547" s="766"/>
      <c r="D547" s="766"/>
      <c r="E547" s="167" t="s">
        <v>45</v>
      </c>
      <c r="F547" s="167" t="s">
        <v>46</v>
      </c>
      <c r="G547" s="766"/>
      <c r="H547" s="766"/>
      <c r="I547" s="140" t="s">
        <v>47</v>
      </c>
      <c r="J547" s="143" t="s">
        <v>48</v>
      </c>
      <c r="K547" s="766"/>
      <c r="L547" s="766"/>
      <c r="M547" s="766"/>
      <c r="N547" s="766"/>
      <c r="O547" s="766"/>
      <c r="P547" s="766"/>
      <c r="Q547" s="766"/>
      <c r="R547" s="766"/>
      <c r="S547" s="766"/>
      <c r="T547" s="808"/>
    </row>
    <row r="548" spans="1:20" s="19" customFormat="1" ht="18.75" x14ac:dyDescent="0.3">
      <c r="A548" s="147"/>
      <c r="B548" s="146" t="s">
        <v>835</v>
      </c>
      <c r="C548" s="148"/>
      <c r="D548" s="147"/>
      <c r="E548" s="147"/>
      <c r="F548" s="147"/>
      <c r="G548" s="149"/>
      <c r="H548" s="149"/>
      <c r="I548" s="150"/>
      <c r="J548" s="149"/>
      <c r="K548" s="147"/>
      <c r="L548" s="151"/>
      <c r="M548" s="152"/>
      <c r="N548" s="152"/>
      <c r="O548" s="360">
        <f>SUM(O549:O550)</f>
        <v>20.416666666666668</v>
      </c>
      <c r="P548" s="151"/>
      <c r="Q548" s="154"/>
      <c r="R548" s="154"/>
      <c r="S548" s="154">
        <f>SUM(S549:S550)</f>
        <v>877000</v>
      </c>
      <c r="T548" s="147"/>
    </row>
    <row r="549" spans="1:20" s="19" customFormat="1" ht="51" customHeight="1" x14ac:dyDescent="0.3">
      <c r="A549" s="136" t="s">
        <v>19</v>
      </c>
      <c r="B549" s="137" t="s">
        <v>332</v>
      </c>
      <c r="C549" s="138" t="s">
        <v>50</v>
      </c>
      <c r="D549" s="52" t="s">
        <v>51</v>
      </c>
      <c r="E549" s="138" t="s">
        <v>27</v>
      </c>
      <c r="F549" s="139" t="s">
        <v>150</v>
      </c>
      <c r="G549" s="138" t="s">
        <v>146</v>
      </c>
      <c r="H549" s="138" t="s">
        <v>21</v>
      </c>
      <c r="I549" s="140" t="s">
        <v>200</v>
      </c>
      <c r="J549" s="141">
        <f>2025-I549-3</f>
        <v>7</v>
      </c>
      <c r="K549" s="142">
        <v>1</v>
      </c>
      <c r="L549" s="142">
        <f>K549</f>
        <v>1</v>
      </c>
      <c r="M549" s="52" t="s">
        <v>54</v>
      </c>
      <c r="N549" s="143">
        <f>10000/500</f>
        <v>20</v>
      </c>
      <c r="O549" s="143">
        <f>N549*L549</f>
        <v>20</v>
      </c>
      <c r="P549" s="144">
        <v>726720</v>
      </c>
      <c r="Q549" s="144">
        <f>+ROUND((L549*P549),-3)</f>
        <v>727000</v>
      </c>
      <c r="R549" s="145">
        <v>1</v>
      </c>
      <c r="S549" s="144">
        <f>+ROUND((Q549*R549),-3)</f>
        <v>727000</v>
      </c>
      <c r="T549" s="52" t="s">
        <v>1043</v>
      </c>
    </row>
    <row r="550" spans="1:20" s="19" customFormat="1" ht="51" customHeight="1" x14ac:dyDescent="0.3">
      <c r="A550" s="136" t="s">
        <v>98</v>
      </c>
      <c r="B550" s="137" t="s">
        <v>430</v>
      </c>
      <c r="C550" s="138" t="s">
        <v>245</v>
      </c>
      <c r="D550" s="52" t="s">
        <v>59</v>
      </c>
      <c r="E550" s="138" t="s">
        <v>27</v>
      </c>
      <c r="F550" s="139" t="s">
        <v>152</v>
      </c>
      <c r="G550" s="138" t="s">
        <v>146</v>
      </c>
      <c r="H550" s="138" t="s">
        <v>21</v>
      </c>
      <c r="I550" s="140" t="s">
        <v>243</v>
      </c>
      <c r="J550" s="141">
        <f>2025-I550</f>
        <v>15</v>
      </c>
      <c r="K550" s="142">
        <v>1</v>
      </c>
      <c r="L550" s="142">
        <f>K550</f>
        <v>1</v>
      </c>
      <c r="M550" s="52" t="s">
        <v>54</v>
      </c>
      <c r="N550" s="140">
        <f>10000/24000</f>
        <v>0.41666666666666669</v>
      </c>
      <c r="O550" s="140">
        <f t="shared" ref="O550" si="60">N550*L550</f>
        <v>0.41666666666666669</v>
      </c>
      <c r="P550" s="144">
        <v>149760</v>
      </c>
      <c r="Q550" s="144">
        <f>+ROUND((L550*P550),-3)</f>
        <v>150000</v>
      </c>
      <c r="R550" s="145">
        <v>1</v>
      </c>
      <c r="S550" s="144">
        <f>+ROUND((Q550*R550),-3)</f>
        <v>150000</v>
      </c>
      <c r="T550" s="52" t="s">
        <v>394</v>
      </c>
    </row>
    <row r="551" spans="1:20" s="19" customFormat="1" ht="40.5" customHeight="1" x14ac:dyDescent="0.3">
      <c r="A551" s="147" t="s">
        <v>836</v>
      </c>
      <c r="B551" s="287" t="s">
        <v>837</v>
      </c>
      <c r="C551" s="288"/>
      <c r="D551" s="289"/>
      <c r="E551" s="289"/>
      <c r="F551" s="289"/>
      <c r="G551" s="290"/>
      <c r="H551" s="290"/>
      <c r="I551" s="291"/>
      <c r="J551" s="290"/>
      <c r="K551" s="292"/>
      <c r="L551" s="293"/>
      <c r="M551" s="293"/>
      <c r="N551" s="293"/>
      <c r="O551" s="294"/>
      <c r="P551" s="293"/>
      <c r="Q551" s="295"/>
      <c r="R551" s="295"/>
      <c r="S551" s="154">
        <f>S552</f>
        <v>98000</v>
      </c>
      <c r="T551" s="289"/>
    </row>
    <row r="552" spans="1:20" s="19" customFormat="1" ht="18.75" x14ac:dyDescent="0.3">
      <c r="A552" s="289"/>
      <c r="B552" s="146" t="s">
        <v>838</v>
      </c>
      <c r="C552" s="296"/>
      <c r="D552" s="289"/>
      <c r="E552" s="289"/>
      <c r="F552" s="289"/>
      <c r="G552" s="290"/>
      <c r="H552" s="290"/>
      <c r="I552" s="291"/>
      <c r="J552" s="290"/>
      <c r="K552" s="292"/>
      <c r="L552" s="293"/>
      <c r="M552" s="293"/>
      <c r="N552" s="293"/>
      <c r="O552" s="294"/>
      <c r="P552" s="293"/>
      <c r="Q552" s="295"/>
      <c r="R552" s="295"/>
      <c r="S552" s="154">
        <f>SUM(S553)</f>
        <v>98000</v>
      </c>
      <c r="T552" s="289"/>
    </row>
    <row r="553" spans="1:20" s="19" customFormat="1" ht="52.5" customHeight="1" x14ac:dyDescent="0.3">
      <c r="A553" s="136" t="s">
        <v>104</v>
      </c>
      <c r="B553" s="137" t="s">
        <v>428</v>
      </c>
      <c r="C553" s="138" t="s">
        <v>429</v>
      </c>
      <c r="D553" s="52"/>
      <c r="E553" s="138" t="s">
        <v>27</v>
      </c>
      <c r="F553" s="139" t="s">
        <v>52</v>
      </c>
      <c r="G553" s="138" t="s">
        <v>146</v>
      </c>
      <c r="H553" s="138" t="s">
        <v>21</v>
      </c>
      <c r="I553" s="140" t="s">
        <v>200</v>
      </c>
      <c r="J553" s="141"/>
      <c r="K553" s="142">
        <v>1</v>
      </c>
      <c r="L553" s="142">
        <f>K553</f>
        <v>1</v>
      </c>
      <c r="M553" s="52" t="s">
        <v>54</v>
      </c>
      <c r="N553" s="143">
        <f>10000/830</f>
        <v>12.048192771084338</v>
      </c>
      <c r="O553" s="143">
        <f>N553*L553</f>
        <v>12.048192771084338</v>
      </c>
      <c r="P553" s="144">
        <v>98000</v>
      </c>
      <c r="Q553" s="144">
        <f>+ROUND((L553*P553),-3)</f>
        <v>98000</v>
      </c>
      <c r="R553" s="145">
        <v>1</v>
      </c>
      <c r="S553" s="144">
        <f>+ROUND((Q553*R553),-3)</f>
        <v>98000</v>
      </c>
      <c r="T553" s="52" t="s">
        <v>333</v>
      </c>
    </row>
    <row r="554" spans="1:20" s="19" customFormat="1" ht="50.25" customHeight="1" x14ac:dyDescent="0.3">
      <c r="A554" s="239"/>
      <c r="B554" s="166" t="s">
        <v>55</v>
      </c>
      <c r="C554" s="166"/>
      <c r="D554" s="240"/>
      <c r="E554" s="159"/>
      <c r="F554" s="167"/>
      <c r="G554" s="167"/>
      <c r="H554" s="167"/>
      <c r="I554" s="168"/>
      <c r="J554" s="167"/>
      <c r="K554" s="167"/>
      <c r="L554" s="167"/>
      <c r="M554" s="167"/>
      <c r="N554" s="167"/>
      <c r="O554" s="167"/>
      <c r="P554" s="167"/>
      <c r="Q554" s="167"/>
      <c r="R554" s="45"/>
      <c r="S554" s="45">
        <f>S548+S551</f>
        <v>975000</v>
      </c>
      <c r="T554" s="185"/>
    </row>
    <row r="555" spans="1:20" s="19" customFormat="1" ht="50.25" customHeight="1" x14ac:dyDescent="0.3">
      <c r="A555" s="272" t="s">
        <v>56</v>
      </c>
      <c r="B555" s="273" t="s">
        <v>201</v>
      </c>
      <c r="C555" s="233"/>
      <c r="D555" s="233"/>
      <c r="E555" s="233"/>
      <c r="F555" s="233"/>
      <c r="G555" s="233"/>
      <c r="H555" s="233"/>
      <c r="I555" s="234"/>
      <c r="J555" s="233"/>
      <c r="K555" s="235"/>
      <c r="L555" s="235"/>
      <c r="M555" s="233"/>
      <c r="N555" s="235"/>
      <c r="O555" s="233"/>
      <c r="P555" s="236"/>
      <c r="Q555" s="233"/>
      <c r="R555" s="233"/>
      <c r="S555" s="237">
        <f>S561</f>
        <v>667000</v>
      </c>
      <c r="T555" s="233"/>
    </row>
    <row r="556" spans="1:20" s="19" customFormat="1" ht="18.75" customHeight="1" x14ac:dyDescent="0.3">
      <c r="A556" s="765"/>
      <c r="B556" s="767" t="s">
        <v>51</v>
      </c>
      <c r="C556" s="767" t="s">
        <v>58</v>
      </c>
      <c r="D556" s="768" t="s">
        <v>59</v>
      </c>
      <c r="E556" s="769" t="s">
        <v>60</v>
      </c>
      <c r="F556" s="769" t="s">
        <v>61</v>
      </c>
      <c r="G556" s="769" t="s">
        <v>62</v>
      </c>
      <c r="H556" s="769" t="s">
        <v>63</v>
      </c>
      <c r="I556" s="770" t="s">
        <v>64</v>
      </c>
      <c r="J556" s="757"/>
      <c r="K556" s="757"/>
      <c r="L556" s="757"/>
      <c r="M556" s="758"/>
      <c r="N556" s="771" t="s">
        <v>3</v>
      </c>
      <c r="O556" s="771" t="s">
        <v>65</v>
      </c>
      <c r="P556" s="771" t="s">
        <v>66</v>
      </c>
      <c r="Q556" s="771" t="s">
        <v>67</v>
      </c>
      <c r="R556" s="767" t="s">
        <v>68</v>
      </c>
      <c r="S556" s="767" t="s">
        <v>69</v>
      </c>
      <c r="T556" s="767" t="s">
        <v>70</v>
      </c>
    </row>
    <row r="557" spans="1:20" s="19" customFormat="1" ht="18.75" customHeight="1" x14ac:dyDescent="0.3">
      <c r="A557" s="766"/>
      <c r="B557" s="766"/>
      <c r="C557" s="766"/>
      <c r="D557" s="766"/>
      <c r="E557" s="766"/>
      <c r="F557" s="766"/>
      <c r="G557" s="766"/>
      <c r="H557" s="766"/>
      <c r="I557" s="168" t="s">
        <v>71</v>
      </c>
      <c r="J557" s="159" t="s">
        <v>72</v>
      </c>
      <c r="K557" s="159" t="s">
        <v>73</v>
      </c>
      <c r="L557" s="45" t="s">
        <v>74</v>
      </c>
      <c r="M557" s="204" t="s">
        <v>75</v>
      </c>
      <c r="N557" s="766"/>
      <c r="O557" s="766"/>
      <c r="P557" s="766"/>
      <c r="Q557" s="766"/>
      <c r="R557" s="766"/>
      <c r="S557" s="766"/>
      <c r="T557" s="766"/>
    </row>
    <row r="558" spans="1:20" s="19" customFormat="1" ht="90" customHeight="1" x14ac:dyDescent="0.3">
      <c r="A558" s="196" t="s">
        <v>5</v>
      </c>
      <c r="B558" s="197" t="s">
        <v>76</v>
      </c>
      <c r="C558" s="197" t="s">
        <v>77</v>
      </c>
      <c r="D558" s="197" t="s">
        <v>78</v>
      </c>
      <c r="E558" s="198" t="s">
        <v>79</v>
      </c>
      <c r="F558" s="198" t="s">
        <v>80</v>
      </c>
      <c r="G558" s="198" t="s">
        <v>81</v>
      </c>
      <c r="H558" s="199" t="s">
        <v>82</v>
      </c>
      <c r="I558" s="200" t="s">
        <v>83</v>
      </c>
      <c r="J558" s="201" t="s">
        <v>84</v>
      </c>
      <c r="K558" s="201" t="s">
        <v>85</v>
      </c>
      <c r="L558" s="197" t="s">
        <v>86</v>
      </c>
      <c r="M558" s="202" t="s">
        <v>87</v>
      </c>
      <c r="N558" s="198" t="s">
        <v>88</v>
      </c>
      <c r="O558" s="198" t="s">
        <v>89</v>
      </c>
      <c r="P558" s="198" t="s">
        <v>90</v>
      </c>
      <c r="Q558" s="198" t="s">
        <v>91</v>
      </c>
      <c r="R558" s="198" t="s">
        <v>92</v>
      </c>
      <c r="S558" s="198" t="s">
        <v>964</v>
      </c>
      <c r="T558" s="198" t="s">
        <v>15</v>
      </c>
    </row>
    <row r="559" spans="1:20" s="19" customFormat="1" ht="105" customHeight="1" x14ac:dyDescent="0.3">
      <c r="A559" s="254">
        <v>1</v>
      </c>
      <c r="B559" s="206" t="s">
        <v>93</v>
      </c>
      <c r="C559" s="206" t="s">
        <v>874</v>
      </c>
      <c r="D559" s="207" t="s">
        <v>241</v>
      </c>
      <c r="E559" s="207">
        <v>2015</v>
      </c>
      <c r="F559" s="122"/>
      <c r="G559" s="207">
        <v>8</v>
      </c>
      <c r="H559" s="207" t="s">
        <v>95</v>
      </c>
      <c r="I559" s="208">
        <v>16.600000000000001</v>
      </c>
      <c r="J559" s="207">
        <v>0</v>
      </c>
      <c r="K559" s="259">
        <v>16.600000000000001</v>
      </c>
      <c r="L559" s="207">
        <v>0.99199999999999999</v>
      </c>
      <c r="M559" s="209">
        <v>134000</v>
      </c>
      <c r="N559" s="210">
        <v>0.3</v>
      </c>
      <c r="O559" s="209">
        <v>134000</v>
      </c>
      <c r="P559" s="45">
        <f t="shared" ref="P559:P560" si="61">+ROUND((K559*L559*O559*N559),-3)</f>
        <v>662000</v>
      </c>
      <c r="Q559" s="144" t="s">
        <v>97</v>
      </c>
      <c r="R559" s="144" t="s">
        <v>97</v>
      </c>
      <c r="S559" s="45">
        <f t="shared" ref="S559:S560" si="62">P559</f>
        <v>662000</v>
      </c>
      <c r="T559" s="207" t="s">
        <v>386</v>
      </c>
    </row>
    <row r="560" spans="1:20" s="19" customFormat="1" ht="105" customHeight="1" x14ac:dyDescent="0.3">
      <c r="A560" s="254">
        <v>2</v>
      </c>
      <c r="B560" s="206" t="s">
        <v>981</v>
      </c>
      <c r="C560" s="206" t="s">
        <v>875</v>
      </c>
      <c r="D560" s="207" t="s">
        <v>217</v>
      </c>
      <c r="E560" s="207">
        <v>2016</v>
      </c>
      <c r="F560" s="122"/>
      <c r="G560" s="207">
        <v>7</v>
      </c>
      <c r="H560" s="207" t="s">
        <v>95</v>
      </c>
      <c r="I560" s="208">
        <v>0.2</v>
      </c>
      <c r="J560" s="207">
        <v>0</v>
      </c>
      <c r="K560" s="259">
        <v>0.2</v>
      </c>
      <c r="L560" s="207">
        <v>0.99199999999999999</v>
      </c>
      <c r="M560" s="209">
        <v>134000</v>
      </c>
      <c r="N560" s="210">
        <v>0.2</v>
      </c>
      <c r="O560" s="209">
        <v>134000</v>
      </c>
      <c r="P560" s="45">
        <f t="shared" si="61"/>
        <v>5000</v>
      </c>
      <c r="Q560" s="144" t="s">
        <v>97</v>
      </c>
      <c r="R560" s="144" t="s">
        <v>97</v>
      </c>
      <c r="S560" s="45">
        <f t="shared" si="62"/>
        <v>5000</v>
      </c>
      <c r="T560" s="207" t="s">
        <v>934</v>
      </c>
    </row>
    <row r="561" spans="1:20" s="19" customFormat="1" ht="34.5" customHeight="1" x14ac:dyDescent="0.3">
      <c r="A561" s="165"/>
      <c r="B561" s="257" t="s">
        <v>55</v>
      </c>
      <c r="C561" s="257"/>
      <c r="D561" s="215"/>
      <c r="E561" s="215"/>
      <c r="F561" s="251"/>
      <c r="G561" s="251"/>
      <c r="H561" s="251"/>
      <c r="I561" s="252"/>
      <c r="J561" s="251"/>
      <c r="K561" s="251"/>
      <c r="L561" s="251"/>
      <c r="M561" s="251"/>
      <c r="N561" s="251"/>
      <c r="O561" s="251"/>
      <c r="P561" s="251"/>
      <c r="Q561" s="251"/>
      <c r="R561" s="251"/>
      <c r="S561" s="224">
        <f>SUM(S559:S560)</f>
        <v>667000</v>
      </c>
      <c r="T561" s="251"/>
    </row>
    <row r="562" spans="1:20" s="19" customFormat="1" ht="36" customHeight="1" x14ac:dyDescent="0.3">
      <c r="A562" s="171" t="s">
        <v>131</v>
      </c>
      <c r="B562" s="172" t="s">
        <v>132</v>
      </c>
      <c r="C562" s="173"/>
      <c r="D562" s="466"/>
      <c r="E562" s="466"/>
      <c r="F562" s="466"/>
      <c r="G562" s="466"/>
      <c r="H562" s="466"/>
      <c r="I562" s="467"/>
      <c r="J562" s="466"/>
      <c r="K562" s="468"/>
      <c r="L562" s="468"/>
      <c r="M562" s="466"/>
      <c r="N562" s="468"/>
      <c r="O562" s="466"/>
      <c r="P562" s="469"/>
      <c r="Q562" s="466"/>
      <c r="R562" s="466"/>
      <c r="S562" s="470"/>
      <c r="T562" s="466"/>
    </row>
    <row r="563" spans="1:20" s="19" customFormat="1" ht="36" customHeight="1" x14ac:dyDescent="0.3">
      <c r="A563" s="171" t="s">
        <v>133</v>
      </c>
      <c r="B563" s="172" t="s">
        <v>134</v>
      </c>
      <c r="C563" s="174"/>
      <c r="D563" s="174"/>
      <c r="E563" s="174"/>
      <c r="F563" s="174"/>
      <c r="G563" s="174"/>
      <c r="H563" s="174"/>
      <c r="I563" s="175"/>
      <c r="J563" s="174"/>
      <c r="K563" s="176"/>
      <c r="L563" s="176"/>
      <c r="M563" s="174"/>
      <c r="N563" s="176"/>
      <c r="O563" s="174"/>
      <c r="P563" s="177"/>
      <c r="Q563" s="174"/>
      <c r="R563" s="174"/>
      <c r="S563" s="174"/>
      <c r="T563" s="174"/>
    </row>
    <row r="564" spans="1:20" s="19" customFormat="1" ht="36" customHeight="1" x14ac:dyDescent="0.3">
      <c r="A564" s="178" t="s">
        <v>135</v>
      </c>
      <c r="B564" s="756" t="s">
        <v>431</v>
      </c>
      <c r="C564" s="757"/>
      <c r="D564" s="757"/>
      <c r="E564" s="757"/>
      <c r="F564" s="757"/>
      <c r="G564" s="757"/>
      <c r="H564" s="757"/>
      <c r="I564" s="757"/>
      <c r="J564" s="757"/>
      <c r="K564" s="757"/>
      <c r="L564" s="757"/>
      <c r="M564" s="757"/>
      <c r="N564" s="757"/>
      <c r="O564" s="757"/>
      <c r="P564" s="757"/>
      <c r="Q564" s="757"/>
      <c r="R564" s="758"/>
      <c r="S564" s="29">
        <f>+S561+S554</f>
        <v>1642000</v>
      </c>
      <c r="T564" s="174" t="s">
        <v>137</v>
      </c>
    </row>
    <row r="565" spans="1:20" ht="27.75" customHeight="1" x14ac:dyDescent="0.3">
      <c r="A565" s="474"/>
      <c r="B565" s="829" t="s">
        <v>432</v>
      </c>
      <c r="C565" s="773"/>
      <c r="D565" s="773"/>
      <c r="E565" s="773"/>
      <c r="F565" s="773"/>
      <c r="G565" s="773"/>
      <c r="H565" s="773"/>
      <c r="I565" s="773"/>
      <c r="J565" s="773"/>
      <c r="K565" s="773"/>
      <c r="L565" s="773"/>
      <c r="M565" s="773"/>
      <c r="N565" s="773"/>
      <c r="O565" s="773"/>
      <c r="P565" s="773"/>
      <c r="Q565" s="773"/>
      <c r="R565" s="773"/>
      <c r="S565" s="773"/>
      <c r="T565" s="474"/>
    </row>
    <row r="566" spans="1:20" ht="18.75" customHeight="1" x14ac:dyDescent="0.3">
      <c r="A566" s="474"/>
      <c r="B566" s="772" t="s">
        <v>1</v>
      </c>
      <c r="C566" s="773"/>
      <c r="D566" s="773"/>
      <c r="E566" s="773"/>
      <c r="F566" s="773"/>
      <c r="G566" s="773"/>
      <c r="H566" s="773"/>
      <c r="I566" s="773"/>
      <c r="J566" s="773"/>
      <c r="K566" s="773"/>
      <c r="L566" s="773"/>
      <c r="M566" s="773"/>
      <c r="N566" s="773"/>
      <c r="O566" s="773"/>
      <c r="P566" s="773"/>
      <c r="Q566" s="773"/>
      <c r="R566" s="773"/>
      <c r="S566" s="773"/>
      <c r="T566" s="474"/>
    </row>
    <row r="567" spans="1:20" ht="18.75" customHeight="1" x14ac:dyDescent="0.3">
      <c r="A567" s="474"/>
      <c r="B567" s="772" t="s">
        <v>2</v>
      </c>
      <c r="C567" s="773"/>
      <c r="D567" s="773"/>
      <c r="E567" s="773"/>
      <c r="F567" s="773"/>
      <c r="G567" s="773"/>
      <c r="H567" s="773"/>
      <c r="I567" s="773"/>
      <c r="J567" s="773"/>
      <c r="K567" s="773"/>
      <c r="L567" s="773"/>
      <c r="M567" s="773"/>
      <c r="N567" s="773"/>
      <c r="O567" s="773"/>
      <c r="P567" s="773"/>
      <c r="Q567" s="773"/>
      <c r="R567" s="773"/>
      <c r="S567" s="773"/>
      <c r="T567" s="474"/>
    </row>
    <row r="568" spans="1:20" s="135" customFormat="1" ht="28.5" customHeight="1" x14ac:dyDescent="0.3">
      <c r="A568" s="630"/>
      <c r="B568" s="774" t="str">
        <f>B534</f>
        <v>(Kèm theo Quyết định số     /QĐ-UBND ngày     tháng     năm 2026 của Ủy ban nhân dân xã Thuận An)</v>
      </c>
      <c r="C568" s="775"/>
      <c r="D568" s="775"/>
      <c r="E568" s="775"/>
      <c r="F568" s="775"/>
      <c r="G568" s="775"/>
      <c r="H568" s="775"/>
      <c r="I568" s="775"/>
      <c r="J568" s="775"/>
      <c r="K568" s="775"/>
      <c r="L568" s="775"/>
      <c r="M568" s="775"/>
      <c r="N568" s="775"/>
      <c r="O568" s="775"/>
      <c r="P568" s="775"/>
      <c r="Q568" s="775"/>
      <c r="R568" s="775"/>
      <c r="S568" s="775"/>
      <c r="T568" s="630"/>
    </row>
    <row r="569" spans="1:20" s="19" customFormat="1" ht="18.75" customHeight="1" thickBot="1" x14ac:dyDescent="0.35">
      <c r="A569" s="272" t="s">
        <v>3</v>
      </c>
      <c r="B569" s="273" t="s">
        <v>4</v>
      </c>
      <c r="C569" s="233"/>
      <c r="D569" s="233"/>
      <c r="E569" s="233"/>
      <c r="F569" s="233"/>
      <c r="G569" s="233"/>
      <c r="H569" s="233"/>
      <c r="I569" s="234"/>
      <c r="J569" s="233"/>
      <c r="K569" s="235"/>
      <c r="L569" s="235"/>
      <c r="M569" s="233"/>
      <c r="N569" s="235"/>
      <c r="O569" s="233"/>
      <c r="P569" s="236"/>
      <c r="Q569" s="233"/>
      <c r="R569" s="233"/>
      <c r="S569" s="237"/>
      <c r="T569" s="233"/>
    </row>
    <row r="570" spans="1:20" s="19" customFormat="1" ht="44.25" customHeight="1" x14ac:dyDescent="0.3">
      <c r="A570" s="810" t="s">
        <v>5</v>
      </c>
      <c r="B570" s="814" t="s">
        <v>6</v>
      </c>
      <c r="C570" s="778" t="s">
        <v>7</v>
      </c>
      <c r="D570" s="778" t="s">
        <v>959</v>
      </c>
      <c r="E570" s="777"/>
      <c r="F570" s="777"/>
      <c r="G570" s="778" t="s">
        <v>960</v>
      </c>
      <c r="H570" s="777"/>
      <c r="I570" s="777"/>
      <c r="J570" s="778" t="s">
        <v>961</v>
      </c>
      <c r="K570" s="777"/>
      <c r="L570" s="777"/>
      <c r="M570" s="779" t="s">
        <v>8</v>
      </c>
      <c r="N570" s="779" t="s">
        <v>9</v>
      </c>
      <c r="O570" s="779" t="s">
        <v>10</v>
      </c>
      <c r="P570" s="780" t="s">
        <v>11</v>
      </c>
      <c r="Q570" s="780" t="s">
        <v>12</v>
      </c>
      <c r="R570" s="780" t="s">
        <v>13</v>
      </c>
      <c r="S570" s="778" t="s">
        <v>14</v>
      </c>
      <c r="T570" s="778" t="s">
        <v>15</v>
      </c>
    </row>
    <row r="571" spans="1:20" s="19" customFormat="1" ht="48" customHeight="1" x14ac:dyDescent="0.3">
      <c r="A571" s="811"/>
      <c r="B571" s="815"/>
      <c r="C571" s="777"/>
      <c r="D571" s="778" t="s">
        <v>16</v>
      </c>
      <c r="E571" s="778" t="s">
        <v>17</v>
      </c>
      <c r="F571" s="777"/>
      <c r="G571" s="778" t="s">
        <v>16</v>
      </c>
      <c r="H571" s="778" t="s">
        <v>17</v>
      </c>
      <c r="I571" s="777"/>
      <c r="J571" s="776" t="s">
        <v>18</v>
      </c>
      <c r="K571" s="778" t="s">
        <v>17</v>
      </c>
      <c r="L571" s="777"/>
      <c r="M571" s="777"/>
      <c r="N571" s="777"/>
      <c r="O571" s="777"/>
      <c r="P571" s="777"/>
      <c r="Q571" s="777"/>
      <c r="R571" s="777"/>
      <c r="S571" s="777"/>
      <c r="T571" s="777"/>
    </row>
    <row r="572" spans="1:20" s="19" customFormat="1" ht="63" customHeight="1" x14ac:dyDescent="0.3">
      <c r="A572" s="801"/>
      <c r="B572" s="816"/>
      <c r="C572" s="777"/>
      <c r="D572" s="777"/>
      <c r="E572" s="415" t="s">
        <v>962</v>
      </c>
      <c r="F572" s="415" t="s">
        <v>963</v>
      </c>
      <c r="G572" s="777"/>
      <c r="H572" s="415" t="s">
        <v>962</v>
      </c>
      <c r="I572" s="189" t="s">
        <v>963</v>
      </c>
      <c r="J572" s="777"/>
      <c r="K572" s="415" t="s">
        <v>962</v>
      </c>
      <c r="L572" s="415" t="s">
        <v>963</v>
      </c>
      <c r="M572" s="777"/>
      <c r="N572" s="777"/>
      <c r="O572" s="777"/>
      <c r="P572" s="777"/>
      <c r="Q572" s="777"/>
      <c r="R572" s="777"/>
      <c r="S572" s="777"/>
      <c r="T572" s="777"/>
    </row>
    <row r="573" spans="1:20" s="19" customFormat="1" ht="116.25" customHeight="1" x14ac:dyDescent="0.3">
      <c r="A573" s="179" t="s">
        <v>433</v>
      </c>
      <c r="B573" s="346" t="s">
        <v>434</v>
      </c>
      <c r="C573" s="424" t="s">
        <v>435</v>
      </c>
      <c r="D573" s="191">
        <f>E573+F573</f>
        <v>5145</v>
      </c>
      <c r="E573" s="191">
        <v>200</v>
      </c>
      <c r="F573" s="191">
        <v>4945</v>
      </c>
      <c r="G573" s="191">
        <f>+H573+I573</f>
        <v>480.9</v>
      </c>
      <c r="H573" s="191">
        <v>200</v>
      </c>
      <c r="I573" s="192">
        <v>280.89999999999998</v>
      </c>
      <c r="J573" s="191">
        <v>102.8</v>
      </c>
      <c r="K573" s="191">
        <v>0</v>
      </c>
      <c r="L573" s="191">
        <f>J573</f>
        <v>102.8</v>
      </c>
      <c r="M573" s="193">
        <v>0</v>
      </c>
      <c r="N573" s="193">
        <f>L573/F573</f>
        <v>2.0788675429726997E-2</v>
      </c>
      <c r="O573" s="194" t="s">
        <v>21</v>
      </c>
      <c r="P573" s="195" t="s">
        <v>436</v>
      </c>
      <c r="Q573" s="195" t="s">
        <v>23</v>
      </c>
      <c r="R573" s="248" t="s">
        <v>24</v>
      </c>
      <c r="S573" s="248" t="s">
        <v>25</v>
      </c>
      <c r="T573" s="248" t="s">
        <v>437</v>
      </c>
    </row>
    <row r="574" spans="1:20" s="19" customFormat="1" ht="24" customHeight="1" x14ac:dyDescent="0.3">
      <c r="A574" s="272" t="s">
        <v>27</v>
      </c>
      <c r="B574" s="273" t="s">
        <v>777</v>
      </c>
      <c r="C574" s="233"/>
      <c r="D574" s="233"/>
      <c r="E574" s="233"/>
      <c r="F574" s="233"/>
      <c r="G574" s="233"/>
      <c r="H574" s="233"/>
      <c r="I574" s="234"/>
      <c r="J574" s="233"/>
      <c r="K574" s="235"/>
      <c r="L574" s="235"/>
      <c r="M574" s="233"/>
      <c r="N574" s="235"/>
      <c r="O574" s="233"/>
      <c r="P574" s="236"/>
      <c r="Q574" s="233"/>
      <c r="R574" s="233"/>
      <c r="S574" s="233"/>
      <c r="T574" s="233"/>
    </row>
    <row r="575" spans="1:20" s="19" customFormat="1" ht="52.5" customHeight="1" x14ac:dyDescent="0.3">
      <c r="A575" s="781" t="s">
        <v>5</v>
      </c>
      <c r="B575" s="783" t="s">
        <v>663</v>
      </c>
      <c r="C575" s="783" t="s">
        <v>664</v>
      </c>
      <c r="D575" s="761" t="s">
        <v>665</v>
      </c>
      <c r="E575" s="761"/>
      <c r="F575" s="761"/>
      <c r="G575" s="761"/>
      <c r="H575" s="761" t="s">
        <v>666</v>
      </c>
      <c r="I575" s="760" t="s">
        <v>667</v>
      </c>
      <c r="J575" s="760"/>
      <c r="K575" s="760"/>
      <c r="L575" s="762" t="s">
        <v>668</v>
      </c>
      <c r="M575" s="762"/>
      <c r="N575" s="761" t="s">
        <v>43</v>
      </c>
      <c r="O575" s="761" t="s">
        <v>669</v>
      </c>
      <c r="P575" s="763" t="s">
        <v>670</v>
      </c>
      <c r="Q575" s="796" t="s">
        <v>42</v>
      </c>
      <c r="R575" s="783" t="s">
        <v>671</v>
      </c>
      <c r="S575" s="783" t="s">
        <v>44</v>
      </c>
      <c r="T575" s="798" t="s">
        <v>15</v>
      </c>
    </row>
    <row r="576" spans="1:20" s="19" customFormat="1" ht="93" customHeight="1" x14ac:dyDescent="0.3">
      <c r="A576" s="782"/>
      <c r="B576" s="784"/>
      <c r="C576" s="784"/>
      <c r="D576" s="407" t="s">
        <v>672</v>
      </c>
      <c r="E576" s="407" t="s">
        <v>673</v>
      </c>
      <c r="F576" s="407" t="s">
        <v>759</v>
      </c>
      <c r="G576" s="407" t="s">
        <v>17</v>
      </c>
      <c r="H576" s="761"/>
      <c r="I576" s="420" t="s">
        <v>674</v>
      </c>
      <c r="J576" s="418" t="s">
        <v>675</v>
      </c>
      <c r="K576" s="419" t="s">
        <v>676</v>
      </c>
      <c r="L576" s="419" t="s">
        <v>677</v>
      </c>
      <c r="M576" s="134" t="s">
        <v>678</v>
      </c>
      <c r="N576" s="761"/>
      <c r="O576" s="761"/>
      <c r="P576" s="763"/>
      <c r="Q576" s="797"/>
      <c r="R576" s="784"/>
      <c r="S576" s="784"/>
      <c r="T576" s="799"/>
    </row>
    <row r="577" spans="1:20" s="19" customFormat="1" ht="123" customHeight="1" x14ac:dyDescent="0.3">
      <c r="A577" s="226" t="s">
        <v>19</v>
      </c>
      <c r="B577" s="227" t="s">
        <v>679</v>
      </c>
      <c r="C577" s="228" t="s">
        <v>800</v>
      </c>
      <c r="D577" s="418" t="s">
        <v>115</v>
      </c>
      <c r="E577" s="418" t="s">
        <v>680</v>
      </c>
      <c r="F577" s="419">
        <v>102.8</v>
      </c>
      <c r="G577" s="420" t="s">
        <v>681</v>
      </c>
      <c r="H577" s="420" t="s">
        <v>799</v>
      </c>
      <c r="I577" s="420">
        <v>93.6</v>
      </c>
      <c r="J577" s="419">
        <v>0</v>
      </c>
      <c r="K577" s="419">
        <f>I577+J577</f>
        <v>93.6</v>
      </c>
      <c r="L577" s="419">
        <v>9.1999999999999993</v>
      </c>
      <c r="M577" s="134" t="s">
        <v>734</v>
      </c>
      <c r="N577" s="260">
        <v>1</v>
      </c>
      <c r="O577" s="423">
        <v>1</v>
      </c>
      <c r="P577" s="231">
        <v>856000</v>
      </c>
      <c r="Q577" s="231">
        <f>+ROUND((P577*N577*K577),-3)</f>
        <v>80122000</v>
      </c>
      <c r="R577" s="231">
        <f>-ROUND((38000*J577*0.5%),-3)</f>
        <v>0</v>
      </c>
      <c r="S577" s="408">
        <f>+Q577+R577</f>
        <v>80122000</v>
      </c>
      <c r="T577" s="232" t="s">
        <v>833</v>
      </c>
    </row>
    <row r="578" spans="1:20" s="19" customFormat="1" ht="24" customHeight="1" x14ac:dyDescent="0.3">
      <c r="A578" s="272" t="s">
        <v>28</v>
      </c>
      <c r="B578" s="273" t="s">
        <v>315</v>
      </c>
      <c r="C578" s="233"/>
      <c r="D578" s="233"/>
      <c r="E578" s="233"/>
      <c r="F578" s="233"/>
      <c r="G578" s="233"/>
      <c r="H578" s="233"/>
      <c r="I578" s="234"/>
      <c r="J578" s="233"/>
      <c r="K578" s="235"/>
      <c r="L578" s="235"/>
      <c r="M578" s="233"/>
      <c r="N578" s="235"/>
      <c r="O578" s="233"/>
      <c r="P578" s="236"/>
      <c r="Q578" s="237"/>
      <c r="R578" s="237"/>
      <c r="S578" s="237"/>
      <c r="T578" s="233"/>
    </row>
    <row r="579" spans="1:20" s="19" customFormat="1" ht="24" customHeight="1" x14ac:dyDescent="0.3">
      <c r="A579" s="272" t="s">
        <v>56</v>
      </c>
      <c r="B579" s="273" t="s">
        <v>201</v>
      </c>
      <c r="C579" s="233"/>
      <c r="D579" s="233"/>
      <c r="E579" s="233"/>
      <c r="F579" s="233"/>
      <c r="G579" s="233"/>
      <c r="H579" s="233"/>
      <c r="I579" s="234"/>
      <c r="J579" s="233"/>
      <c r="K579" s="235"/>
      <c r="L579" s="235"/>
      <c r="M579" s="233"/>
      <c r="N579" s="235"/>
      <c r="O579" s="233"/>
      <c r="P579" s="236"/>
      <c r="Q579" s="233"/>
      <c r="R579" s="233"/>
      <c r="S579" s="237">
        <f>S601</f>
        <v>64086000</v>
      </c>
      <c r="T579" s="233"/>
    </row>
    <row r="580" spans="1:20" s="19" customFormat="1" ht="18.75" customHeight="1" x14ac:dyDescent="0.3">
      <c r="A580" s="765"/>
      <c r="B580" s="767" t="s">
        <v>51</v>
      </c>
      <c r="C580" s="767" t="s">
        <v>58</v>
      </c>
      <c r="D580" s="768" t="s">
        <v>59</v>
      </c>
      <c r="E580" s="769" t="s">
        <v>60</v>
      </c>
      <c r="F580" s="769" t="s">
        <v>61</v>
      </c>
      <c r="G580" s="769" t="s">
        <v>62</v>
      </c>
      <c r="H580" s="769" t="s">
        <v>63</v>
      </c>
      <c r="I580" s="770" t="s">
        <v>64</v>
      </c>
      <c r="J580" s="757"/>
      <c r="K580" s="757"/>
      <c r="L580" s="757"/>
      <c r="M580" s="758"/>
      <c r="N580" s="771" t="s">
        <v>3</v>
      </c>
      <c r="O580" s="771" t="s">
        <v>65</v>
      </c>
      <c r="P580" s="771" t="s">
        <v>66</v>
      </c>
      <c r="Q580" s="771" t="s">
        <v>67</v>
      </c>
      <c r="R580" s="767" t="s">
        <v>68</v>
      </c>
      <c r="S580" s="767" t="s">
        <v>69</v>
      </c>
      <c r="T580" s="767" t="s">
        <v>70</v>
      </c>
    </row>
    <row r="581" spans="1:20" s="19" customFormat="1" ht="18.75" customHeight="1" x14ac:dyDescent="0.3">
      <c r="A581" s="766"/>
      <c r="B581" s="766"/>
      <c r="C581" s="766"/>
      <c r="D581" s="766"/>
      <c r="E581" s="766"/>
      <c r="F581" s="766"/>
      <c r="G581" s="766"/>
      <c r="H581" s="766"/>
      <c r="I581" s="168" t="s">
        <v>71</v>
      </c>
      <c r="J581" s="159" t="s">
        <v>72</v>
      </c>
      <c r="K581" s="159" t="s">
        <v>73</v>
      </c>
      <c r="L581" s="45" t="s">
        <v>74</v>
      </c>
      <c r="M581" s="204" t="s">
        <v>75</v>
      </c>
      <c r="N581" s="766"/>
      <c r="O581" s="766"/>
      <c r="P581" s="766"/>
      <c r="Q581" s="766"/>
      <c r="R581" s="766"/>
      <c r="S581" s="766"/>
      <c r="T581" s="766"/>
    </row>
    <row r="582" spans="1:20" s="19" customFormat="1" ht="91.5" customHeight="1" x14ac:dyDescent="0.3">
      <c r="A582" s="196" t="s">
        <v>5</v>
      </c>
      <c r="B582" s="197" t="s">
        <v>76</v>
      </c>
      <c r="C582" s="197" t="s">
        <v>77</v>
      </c>
      <c r="D582" s="197" t="s">
        <v>78</v>
      </c>
      <c r="E582" s="198" t="s">
        <v>79</v>
      </c>
      <c r="F582" s="198" t="s">
        <v>80</v>
      </c>
      <c r="G582" s="198" t="s">
        <v>81</v>
      </c>
      <c r="H582" s="199" t="s">
        <v>82</v>
      </c>
      <c r="I582" s="200" t="s">
        <v>83</v>
      </c>
      <c r="J582" s="201" t="s">
        <v>84</v>
      </c>
      <c r="K582" s="201" t="s">
        <v>85</v>
      </c>
      <c r="L582" s="197" t="s">
        <v>86</v>
      </c>
      <c r="M582" s="202" t="s">
        <v>87</v>
      </c>
      <c r="N582" s="198" t="s">
        <v>88</v>
      </c>
      <c r="O582" s="198" t="s">
        <v>89</v>
      </c>
      <c r="P582" s="198" t="s">
        <v>90</v>
      </c>
      <c r="Q582" s="198" t="s">
        <v>91</v>
      </c>
      <c r="R582" s="198" t="s">
        <v>92</v>
      </c>
      <c r="S582" s="198" t="s">
        <v>964</v>
      </c>
      <c r="T582" s="198" t="s">
        <v>15</v>
      </c>
    </row>
    <row r="583" spans="1:20" s="19" customFormat="1" ht="87.75" customHeight="1" x14ac:dyDescent="0.3">
      <c r="A583" s="254">
        <v>1</v>
      </c>
      <c r="B583" s="206" t="s">
        <v>876</v>
      </c>
      <c r="C583" s="206" t="s">
        <v>877</v>
      </c>
      <c r="D583" s="207" t="s">
        <v>190</v>
      </c>
      <c r="E583" s="207">
        <v>1996</v>
      </c>
      <c r="F583" s="122"/>
      <c r="G583" s="207">
        <v>27</v>
      </c>
      <c r="H583" s="207" t="s">
        <v>95</v>
      </c>
      <c r="I583" s="208">
        <v>3</v>
      </c>
      <c r="J583" s="207">
        <v>0</v>
      </c>
      <c r="K583" s="207">
        <v>3</v>
      </c>
      <c r="L583" s="207">
        <v>0.99199999999999999</v>
      </c>
      <c r="M583" s="209">
        <v>656000</v>
      </c>
      <c r="N583" s="210">
        <v>0.2</v>
      </c>
      <c r="O583" s="209">
        <v>656000</v>
      </c>
      <c r="P583" s="211">
        <v>390000</v>
      </c>
      <c r="Q583" s="207" t="s">
        <v>97</v>
      </c>
      <c r="R583" s="207" t="s">
        <v>97</v>
      </c>
      <c r="S583" s="211">
        <v>390000</v>
      </c>
      <c r="T583" s="207" t="s">
        <v>937</v>
      </c>
    </row>
    <row r="584" spans="1:20" s="19" customFormat="1" ht="66.75" customHeight="1" x14ac:dyDescent="0.3">
      <c r="A584" s="254">
        <v>2</v>
      </c>
      <c r="B584" s="206" t="s">
        <v>120</v>
      </c>
      <c r="C584" s="206" t="s">
        <v>878</v>
      </c>
      <c r="D584" s="207" t="s">
        <v>241</v>
      </c>
      <c r="E584" s="207">
        <v>1996</v>
      </c>
      <c r="F584" s="122"/>
      <c r="G584" s="207">
        <v>27</v>
      </c>
      <c r="H584" s="207" t="s">
        <v>95</v>
      </c>
      <c r="I584" s="208">
        <v>38.4</v>
      </c>
      <c r="J584" s="207">
        <v>0</v>
      </c>
      <c r="K584" s="207">
        <v>38.4</v>
      </c>
      <c r="L584" s="207">
        <v>0.99199999999999999</v>
      </c>
      <c r="M584" s="209">
        <v>189000</v>
      </c>
      <c r="N584" s="210">
        <v>0.8</v>
      </c>
      <c r="O584" s="209">
        <v>189000</v>
      </c>
      <c r="P584" s="211">
        <v>5760000</v>
      </c>
      <c r="Q584" s="207" t="s">
        <v>97</v>
      </c>
      <c r="R584" s="207" t="s">
        <v>97</v>
      </c>
      <c r="S584" s="211">
        <v>5760000</v>
      </c>
      <c r="T584" s="207" t="s">
        <v>205</v>
      </c>
    </row>
    <row r="585" spans="1:20" s="19" customFormat="1" ht="93.75" customHeight="1" x14ac:dyDescent="0.3">
      <c r="A585" s="254"/>
      <c r="B585" s="206" t="s">
        <v>983</v>
      </c>
      <c r="C585" s="206" t="s">
        <v>879</v>
      </c>
      <c r="D585" s="207" t="s">
        <v>217</v>
      </c>
      <c r="E585" s="207">
        <v>1996</v>
      </c>
      <c r="F585" s="122"/>
      <c r="G585" s="207">
        <v>27</v>
      </c>
      <c r="H585" s="207" t="s">
        <v>95</v>
      </c>
      <c r="I585" s="208">
        <v>9.6</v>
      </c>
      <c r="J585" s="207">
        <v>0</v>
      </c>
      <c r="K585" s="207">
        <v>9.6</v>
      </c>
      <c r="L585" s="207">
        <v>0.99199999999999999</v>
      </c>
      <c r="M585" s="209">
        <v>189000</v>
      </c>
      <c r="N585" s="210">
        <v>0.2</v>
      </c>
      <c r="O585" s="209">
        <v>189000</v>
      </c>
      <c r="P585" s="211">
        <v>360000</v>
      </c>
      <c r="Q585" s="207" t="s">
        <v>97</v>
      </c>
      <c r="R585" s="207" t="s">
        <v>97</v>
      </c>
      <c r="S585" s="211">
        <v>360000</v>
      </c>
      <c r="T585" s="207" t="s">
        <v>938</v>
      </c>
    </row>
    <row r="586" spans="1:20" s="19" customFormat="1" ht="66.75" customHeight="1" x14ac:dyDescent="0.3">
      <c r="A586" s="155">
        <v>3</v>
      </c>
      <c r="B586" s="212" t="s">
        <v>99</v>
      </c>
      <c r="C586" s="212" t="s">
        <v>439</v>
      </c>
      <c r="D586" s="213" t="s">
        <v>958</v>
      </c>
      <c r="E586" s="214" t="s">
        <v>438</v>
      </c>
      <c r="F586" s="215"/>
      <c r="G586" s="216">
        <f t="shared" ref="G586:G600" si="63">2023-E586</f>
        <v>27</v>
      </c>
      <c r="H586" s="217" t="s">
        <v>95</v>
      </c>
      <c r="I586" s="218">
        <f>0.4*0.4*2*2</f>
        <v>0.64000000000000012</v>
      </c>
      <c r="J586" s="219" t="s">
        <v>96</v>
      </c>
      <c r="K586" s="220">
        <f t="shared" ref="K586:K600" si="64">+I586-J586</f>
        <v>0.64000000000000012</v>
      </c>
      <c r="L586" s="221">
        <v>0.99199999999999999</v>
      </c>
      <c r="M586" s="222">
        <v>2556000</v>
      </c>
      <c r="N586" s="223">
        <v>0.8</v>
      </c>
      <c r="O586" s="222">
        <f t="shared" ref="O586:O600" si="65">+M586</f>
        <v>2556000</v>
      </c>
      <c r="P586" s="224">
        <f t="shared" ref="P586:P600" si="66">+ROUND((K586*L586*O586*N586),-3)</f>
        <v>1298000</v>
      </c>
      <c r="Q586" s="222" t="s">
        <v>97</v>
      </c>
      <c r="R586" s="222" t="s">
        <v>97</v>
      </c>
      <c r="S586" s="224">
        <f t="shared" ref="S586:S600" si="67">P586</f>
        <v>1298000</v>
      </c>
      <c r="T586" s="225" t="s">
        <v>169</v>
      </c>
    </row>
    <row r="587" spans="1:20" s="19" customFormat="1" ht="66.75" customHeight="1" x14ac:dyDescent="0.3">
      <c r="A587" s="155">
        <v>4</v>
      </c>
      <c r="B587" s="322" t="s">
        <v>105</v>
      </c>
      <c r="C587" s="322" t="s">
        <v>440</v>
      </c>
      <c r="D587" s="319" t="s">
        <v>957</v>
      </c>
      <c r="E587" s="285" t="s">
        <v>438</v>
      </c>
      <c r="F587" s="198"/>
      <c r="G587" s="325">
        <f t="shared" si="63"/>
        <v>27</v>
      </c>
      <c r="H587" s="326" t="s">
        <v>95</v>
      </c>
      <c r="I587" s="327">
        <f>3*2.1</f>
        <v>6.3000000000000007</v>
      </c>
      <c r="J587" s="328" t="s">
        <v>96</v>
      </c>
      <c r="K587" s="361">
        <f t="shared" si="64"/>
        <v>6.3000000000000007</v>
      </c>
      <c r="L587" s="329">
        <v>0.99199999999999999</v>
      </c>
      <c r="M587" s="330">
        <v>835000</v>
      </c>
      <c r="N587" s="331">
        <v>0.8</v>
      </c>
      <c r="O587" s="330">
        <f t="shared" si="65"/>
        <v>835000</v>
      </c>
      <c r="P587" s="199">
        <f t="shared" si="66"/>
        <v>4175000</v>
      </c>
      <c r="Q587" s="330" t="s">
        <v>97</v>
      </c>
      <c r="R587" s="330" t="s">
        <v>97</v>
      </c>
      <c r="S587" s="199">
        <f t="shared" si="67"/>
        <v>4175000</v>
      </c>
      <c r="T587" s="326" t="s">
        <v>174</v>
      </c>
    </row>
    <row r="588" spans="1:20" s="19" customFormat="1" ht="118.5" customHeight="1" x14ac:dyDescent="0.3">
      <c r="A588" s="254">
        <v>5</v>
      </c>
      <c r="B588" s="206" t="s">
        <v>113</v>
      </c>
      <c r="C588" s="206" t="s">
        <v>880</v>
      </c>
      <c r="D588" s="207" t="s">
        <v>241</v>
      </c>
      <c r="E588" s="207">
        <v>2018</v>
      </c>
      <c r="F588" s="122"/>
      <c r="G588" s="207">
        <v>5</v>
      </c>
      <c r="H588" s="207" t="s">
        <v>95</v>
      </c>
      <c r="I588" s="208">
        <v>44</v>
      </c>
      <c r="J588" s="207">
        <v>0</v>
      </c>
      <c r="K588" s="207">
        <v>44</v>
      </c>
      <c r="L588" s="207">
        <v>0.99199999999999999</v>
      </c>
      <c r="M588" s="209">
        <v>418000</v>
      </c>
      <c r="N588" s="210">
        <v>0.3</v>
      </c>
      <c r="O588" s="209">
        <v>418000</v>
      </c>
      <c r="P588" s="211">
        <v>5473000</v>
      </c>
      <c r="Q588" s="207" t="s">
        <v>97</v>
      </c>
      <c r="R588" s="207" t="s">
        <v>97</v>
      </c>
      <c r="S588" s="211">
        <v>5473000</v>
      </c>
      <c r="T588" s="207" t="s">
        <v>914</v>
      </c>
    </row>
    <row r="589" spans="1:20" s="19" customFormat="1" ht="118.5" customHeight="1" x14ac:dyDescent="0.3">
      <c r="A589" s="254"/>
      <c r="B589" s="206" t="s">
        <v>881</v>
      </c>
      <c r="C589" s="206" t="s">
        <v>882</v>
      </c>
      <c r="D589" s="207" t="s">
        <v>217</v>
      </c>
      <c r="E589" s="207">
        <v>2018</v>
      </c>
      <c r="F589" s="122"/>
      <c r="G589" s="207">
        <v>5</v>
      </c>
      <c r="H589" s="207" t="s">
        <v>95</v>
      </c>
      <c r="I589" s="208">
        <v>44</v>
      </c>
      <c r="J589" s="207">
        <v>0</v>
      </c>
      <c r="K589" s="207">
        <v>44</v>
      </c>
      <c r="L589" s="207">
        <v>0.99199999999999999</v>
      </c>
      <c r="M589" s="209">
        <v>418000</v>
      </c>
      <c r="N589" s="210">
        <v>0.2</v>
      </c>
      <c r="O589" s="209">
        <v>418000</v>
      </c>
      <c r="P589" s="211">
        <v>3649000</v>
      </c>
      <c r="Q589" s="207" t="s">
        <v>97</v>
      </c>
      <c r="R589" s="207" t="s">
        <v>97</v>
      </c>
      <c r="S589" s="211">
        <v>3649000</v>
      </c>
      <c r="T589" s="207" t="s">
        <v>939</v>
      </c>
    </row>
    <row r="590" spans="1:20" s="19" customFormat="1" ht="76.5" customHeight="1" x14ac:dyDescent="0.3">
      <c r="A590" s="254">
        <v>6</v>
      </c>
      <c r="B590" s="206" t="s">
        <v>93</v>
      </c>
      <c r="C590" s="206" t="s">
        <v>883</v>
      </c>
      <c r="D590" s="207" t="s">
        <v>241</v>
      </c>
      <c r="E590" s="207">
        <v>1996</v>
      </c>
      <c r="F590" s="122"/>
      <c r="G590" s="207">
        <v>27</v>
      </c>
      <c r="H590" s="207" t="s">
        <v>95</v>
      </c>
      <c r="I590" s="208">
        <v>8.6</v>
      </c>
      <c r="J590" s="207">
        <v>0</v>
      </c>
      <c r="K590" s="259">
        <v>8.6</v>
      </c>
      <c r="L590" s="207">
        <v>0.99199999999999999</v>
      </c>
      <c r="M590" s="209">
        <v>134000</v>
      </c>
      <c r="N590" s="210">
        <v>0.8</v>
      </c>
      <c r="O590" s="209">
        <v>134000</v>
      </c>
      <c r="P590" s="211">
        <v>909000</v>
      </c>
      <c r="Q590" s="207" t="s">
        <v>97</v>
      </c>
      <c r="R590" s="207" t="s">
        <v>97</v>
      </c>
      <c r="S590" s="211">
        <v>909000</v>
      </c>
      <c r="T590" s="207" t="s">
        <v>386</v>
      </c>
    </row>
    <row r="591" spans="1:20" s="19" customFormat="1" ht="60" customHeight="1" x14ac:dyDescent="0.3">
      <c r="A591" s="254" t="s">
        <v>101</v>
      </c>
      <c r="B591" s="206" t="s">
        <v>102</v>
      </c>
      <c r="C591" s="206" t="s">
        <v>885</v>
      </c>
      <c r="D591" s="207" t="s">
        <v>217</v>
      </c>
      <c r="E591" s="207">
        <v>1996</v>
      </c>
      <c r="F591" s="122"/>
      <c r="G591" s="207">
        <v>27</v>
      </c>
      <c r="H591" s="207" t="s">
        <v>95</v>
      </c>
      <c r="I591" s="208">
        <v>0.3</v>
      </c>
      <c r="J591" s="207">
        <v>0</v>
      </c>
      <c r="K591" s="207">
        <v>0.3</v>
      </c>
      <c r="L591" s="207">
        <v>0.99199999999999999</v>
      </c>
      <c r="M591" s="209">
        <v>2446000</v>
      </c>
      <c r="N591" s="210">
        <v>0.8</v>
      </c>
      <c r="O591" s="209">
        <v>2446000</v>
      </c>
      <c r="P591" s="211">
        <v>664000</v>
      </c>
      <c r="Q591" s="207" t="s">
        <v>97</v>
      </c>
      <c r="R591" s="207" t="s">
        <v>97</v>
      </c>
      <c r="S591" s="211">
        <v>664000</v>
      </c>
      <c r="T591" s="207" t="s">
        <v>321</v>
      </c>
    </row>
    <row r="592" spans="1:20" s="19" customFormat="1" ht="88.5" customHeight="1" x14ac:dyDescent="0.3">
      <c r="A592" s="254">
        <v>7</v>
      </c>
      <c r="B592" s="206" t="s">
        <v>984</v>
      </c>
      <c r="C592" s="206" t="s">
        <v>884</v>
      </c>
      <c r="D592" s="207" t="s">
        <v>217</v>
      </c>
      <c r="E592" s="207">
        <v>1996</v>
      </c>
      <c r="F592" s="122"/>
      <c r="G592" s="207">
        <v>27</v>
      </c>
      <c r="H592" s="207" t="s">
        <v>95</v>
      </c>
      <c r="I592" s="208">
        <v>15.3</v>
      </c>
      <c r="J592" s="207">
        <v>0</v>
      </c>
      <c r="K592" s="259">
        <v>15.3</v>
      </c>
      <c r="L592" s="207">
        <v>0.99199999999999999</v>
      </c>
      <c r="M592" s="209">
        <v>134000</v>
      </c>
      <c r="N592" s="210">
        <v>0.2</v>
      </c>
      <c r="O592" s="209">
        <v>134000</v>
      </c>
      <c r="P592" s="211">
        <v>407000</v>
      </c>
      <c r="Q592" s="207" t="s">
        <v>97</v>
      </c>
      <c r="R592" s="207" t="s">
        <v>97</v>
      </c>
      <c r="S592" s="211">
        <v>407000</v>
      </c>
      <c r="T592" s="207" t="s">
        <v>940</v>
      </c>
    </row>
    <row r="593" spans="1:20" s="19" customFormat="1" ht="77.099999999999994" customHeight="1" x14ac:dyDescent="0.3">
      <c r="A593" s="254" t="s">
        <v>101</v>
      </c>
      <c r="B593" s="206" t="s">
        <v>900</v>
      </c>
      <c r="C593" s="206" t="s">
        <v>886</v>
      </c>
      <c r="D593" s="207" t="s">
        <v>217</v>
      </c>
      <c r="E593" s="207">
        <v>1996</v>
      </c>
      <c r="F593" s="122"/>
      <c r="G593" s="207">
        <v>27</v>
      </c>
      <c r="H593" s="207" t="s">
        <v>95</v>
      </c>
      <c r="I593" s="208">
        <v>0.6</v>
      </c>
      <c r="J593" s="207">
        <v>0</v>
      </c>
      <c r="K593" s="207">
        <v>0.6</v>
      </c>
      <c r="L593" s="207">
        <v>0.99199999999999999</v>
      </c>
      <c r="M593" s="209">
        <v>2446000</v>
      </c>
      <c r="N593" s="210">
        <v>0.2</v>
      </c>
      <c r="O593" s="209">
        <v>2446000</v>
      </c>
      <c r="P593" s="211">
        <v>297000</v>
      </c>
      <c r="Q593" s="207" t="s">
        <v>97</v>
      </c>
      <c r="R593" s="207" t="s">
        <v>97</v>
      </c>
      <c r="S593" s="211">
        <v>297000</v>
      </c>
      <c r="T593" s="207" t="s">
        <v>941</v>
      </c>
    </row>
    <row r="594" spans="1:20" s="362" customFormat="1" ht="149.25" customHeight="1" x14ac:dyDescent="0.3">
      <c r="A594" s="254">
        <v>8</v>
      </c>
      <c r="B594" s="206" t="s">
        <v>887</v>
      </c>
      <c r="C594" s="206" t="s">
        <v>985</v>
      </c>
      <c r="D594" s="207" t="s">
        <v>241</v>
      </c>
      <c r="E594" s="207">
        <v>2018</v>
      </c>
      <c r="F594" s="122"/>
      <c r="G594" s="207">
        <v>5</v>
      </c>
      <c r="H594" s="207" t="s">
        <v>95</v>
      </c>
      <c r="I594" s="208">
        <v>6</v>
      </c>
      <c r="J594" s="207">
        <v>0</v>
      </c>
      <c r="K594" s="207">
        <v>6</v>
      </c>
      <c r="L594" s="207">
        <v>0.99199999999999999</v>
      </c>
      <c r="M594" s="209">
        <v>1400000</v>
      </c>
      <c r="N594" s="210">
        <v>0.2</v>
      </c>
      <c r="O594" s="209">
        <f>M594*80%*90%</f>
        <v>1008000</v>
      </c>
      <c r="P594" s="211">
        <v>1371000</v>
      </c>
      <c r="Q594" s="207" t="s">
        <v>97</v>
      </c>
      <c r="R594" s="207" t="s">
        <v>97</v>
      </c>
      <c r="S594" s="211">
        <v>1371000</v>
      </c>
      <c r="T594" s="207" t="s">
        <v>1054</v>
      </c>
    </row>
    <row r="595" spans="1:20" s="19" customFormat="1" ht="41.25" customHeight="1" x14ac:dyDescent="0.3">
      <c r="A595" s="254">
        <v>9</v>
      </c>
      <c r="B595" s="206" t="s">
        <v>126</v>
      </c>
      <c r="C595" s="206" t="s">
        <v>888</v>
      </c>
      <c r="D595" s="207" t="s">
        <v>217</v>
      </c>
      <c r="E595" s="207">
        <v>1996</v>
      </c>
      <c r="F595" s="122"/>
      <c r="G595" s="207">
        <v>27</v>
      </c>
      <c r="H595" s="207" t="s">
        <v>95</v>
      </c>
      <c r="I595" s="208">
        <v>1.1000000000000001</v>
      </c>
      <c r="J595" s="207">
        <v>0</v>
      </c>
      <c r="K595" s="207">
        <v>1.1000000000000001</v>
      </c>
      <c r="L595" s="207">
        <v>0.99199999999999999</v>
      </c>
      <c r="M595" s="209">
        <v>2360000</v>
      </c>
      <c r="N595" s="210">
        <v>0.8</v>
      </c>
      <c r="O595" s="209">
        <v>2360000</v>
      </c>
      <c r="P595" s="211">
        <v>1967000</v>
      </c>
      <c r="Q595" s="207" t="s">
        <v>97</v>
      </c>
      <c r="R595" s="207" t="s">
        <v>97</v>
      </c>
      <c r="S595" s="211">
        <v>1967000</v>
      </c>
      <c r="T595" s="207" t="s">
        <v>288</v>
      </c>
    </row>
    <row r="596" spans="1:20" s="19" customFormat="1" ht="95.25" customHeight="1" x14ac:dyDescent="0.3">
      <c r="A596" s="254">
        <v>10</v>
      </c>
      <c r="B596" s="206" t="s">
        <v>889</v>
      </c>
      <c r="C596" s="206" t="s">
        <v>890</v>
      </c>
      <c r="D596" s="207" t="s">
        <v>217</v>
      </c>
      <c r="E596" s="207">
        <v>1996</v>
      </c>
      <c r="F596" s="122"/>
      <c r="G596" s="207">
        <v>26</v>
      </c>
      <c r="H596" s="207" t="s">
        <v>95</v>
      </c>
      <c r="I596" s="208">
        <v>1.1000000000000001</v>
      </c>
      <c r="J596" s="207">
        <v>0</v>
      </c>
      <c r="K596" s="207">
        <v>1.1000000000000001</v>
      </c>
      <c r="L596" s="207">
        <v>0.99199999999999999</v>
      </c>
      <c r="M596" s="209">
        <v>2360000</v>
      </c>
      <c r="N596" s="210">
        <v>0.2</v>
      </c>
      <c r="O596" s="209">
        <v>2360000</v>
      </c>
      <c r="P596" s="211">
        <v>492000</v>
      </c>
      <c r="Q596" s="207" t="s">
        <v>97</v>
      </c>
      <c r="R596" s="207" t="s">
        <v>97</v>
      </c>
      <c r="S596" s="211">
        <v>492000</v>
      </c>
      <c r="T596" s="207" t="s">
        <v>1055</v>
      </c>
    </row>
    <row r="597" spans="1:20" s="19" customFormat="1" ht="143.25" customHeight="1" x14ac:dyDescent="0.3">
      <c r="A597" s="155">
        <v>11</v>
      </c>
      <c r="B597" s="212" t="s">
        <v>441</v>
      </c>
      <c r="C597" s="212" t="s">
        <v>982</v>
      </c>
      <c r="D597" s="213" t="s">
        <v>957</v>
      </c>
      <c r="E597" s="214" t="s">
        <v>438</v>
      </c>
      <c r="F597" s="215"/>
      <c r="G597" s="216">
        <f t="shared" si="63"/>
        <v>27</v>
      </c>
      <c r="H597" s="217" t="s">
        <v>95</v>
      </c>
      <c r="I597" s="218">
        <f>0.95*8.2</f>
        <v>7.7899999999999991</v>
      </c>
      <c r="J597" s="219" t="s">
        <v>96</v>
      </c>
      <c r="K597" s="220">
        <f t="shared" si="64"/>
        <v>7.7899999999999991</v>
      </c>
      <c r="L597" s="221">
        <v>0.99199999999999999</v>
      </c>
      <c r="M597" s="222">
        <v>5523000</v>
      </c>
      <c r="N597" s="223">
        <v>0.8</v>
      </c>
      <c r="O597" s="222">
        <f t="shared" si="65"/>
        <v>5523000</v>
      </c>
      <c r="P597" s="224">
        <f t="shared" si="66"/>
        <v>34144000</v>
      </c>
      <c r="Q597" s="222" t="s">
        <v>97</v>
      </c>
      <c r="R597" s="222" t="s">
        <v>97</v>
      </c>
      <c r="S597" s="224">
        <f t="shared" si="67"/>
        <v>34144000</v>
      </c>
      <c r="T597" s="225" t="s">
        <v>442</v>
      </c>
    </row>
    <row r="598" spans="1:20" s="19" customFormat="1" ht="52.5" customHeight="1" x14ac:dyDescent="0.3">
      <c r="A598" s="376" t="s">
        <v>97</v>
      </c>
      <c r="B598" s="363" t="s">
        <v>163</v>
      </c>
      <c r="C598" s="363" t="s">
        <v>443</v>
      </c>
      <c r="D598" s="364" t="s">
        <v>957</v>
      </c>
      <c r="E598" s="365" t="s">
        <v>438</v>
      </c>
      <c r="F598" s="366"/>
      <c r="G598" s="631">
        <f t="shared" si="63"/>
        <v>27</v>
      </c>
      <c r="H598" s="353" t="s">
        <v>95</v>
      </c>
      <c r="I598" s="367">
        <f>0.95*8.2</f>
        <v>7.7899999999999991</v>
      </c>
      <c r="J598" s="368" t="s">
        <v>96</v>
      </c>
      <c r="K598" s="369">
        <f t="shared" si="64"/>
        <v>7.7899999999999991</v>
      </c>
      <c r="L598" s="370">
        <v>0.99199999999999999</v>
      </c>
      <c r="M598" s="371">
        <v>-138000</v>
      </c>
      <c r="N598" s="372">
        <v>0.8</v>
      </c>
      <c r="O598" s="371">
        <f t="shared" si="65"/>
        <v>-138000</v>
      </c>
      <c r="P598" s="373">
        <f t="shared" si="66"/>
        <v>-853000</v>
      </c>
      <c r="Q598" s="374" t="s">
        <v>97</v>
      </c>
      <c r="R598" s="374" t="s">
        <v>97</v>
      </c>
      <c r="S598" s="373">
        <f t="shared" si="67"/>
        <v>-853000</v>
      </c>
      <c r="T598" s="375" t="s">
        <v>228</v>
      </c>
    </row>
    <row r="599" spans="1:20" s="19" customFormat="1" ht="85.5" customHeight="1" x14ac:dyDescent="0.3">
      <c r="A599" s="376" t="s">
        <v>97</v>
      </c>
      <c r="B599" s="363" t="s">
        <v>163</v>
      </c>
      <c r="C599" s="363" t="s">
        <v>444</v>
      </c>
      <c r="D599" s="364" t="s">
        <v>957</v>
      </c>
      <c r="E599" s="365" t="s">
        <v>438</v>
      </c>
      <c r="F599" s="366"/>
      <c r="G599" s="631">
        <f t="shared" si="63"/>
        <v>27</v>
      </c>
      <c r="H599" s="353" t="s">
        <v>95</v>
      </c>
      <c r="I599" s="367">
        <f>0.95*8.2</f>
        <v>7.7899999999999991</v>
      </c>
      <c r="J599" s="368" t="s">
        <v>96</v>
      </c>
      <c r="K599" s="369">
        <f t="shared" si="64"/>
        <v>7.7899999999999991</v>
      </c>
      <c r="L599" s="370">
        <v>0.99199999999999999</v>
      </c>
      <c r="M599" s="371">
        <f>(256000-262000)</f>
        <v>-6000</v>
      </c>
      <c r="N599" s="372">
        <v>0.8</v>
      </c>
      <c r="O599" s="371">
        <f t="shared" si="65"/>
        <v>-6000</v>
      </c>
      <c r="P599" s="373">
        <f t="shared" si="66"/>
        <v>-37000</v>
      </c>
      <c r="Q599" s="374" t="s">
        <v>97</v>
      </c>
      <c r="R599" s="374" t="s">
        <v>97</v>
      </c>
      <c r="S599" s="373">
        <f t="shared" si="67"/>
        <v>-37000</v>
      </c>
      <c r="T599" s="375" t="s">
        <v>228</v>
      </c>
    </row>
    <row r="600" spans="1:20" s="19" customFormat="1" ht="64.5" customHeight="1" x14ac:dyDescent="0.3">
      <c r="A600" s="155">
        <v>12</v>
      </c>
      <c r="B600" s="156" t="s">
        <v>445</v>
      </c>
      <c r="C600" s="156" t="s">
        <v>446</v>
      </c>
      <c r="D600" s="157" t="s">
        <v>957</v>
      </c>
      <c r="E600" s="158" t="s">
        <v>438</v>
      </c>
      <c r="F600" s="159"/>
      <c r="G600" s="325">
        <f t="shared" si="63"/>
        <v>27</v>
      </c>
      <c r="H600" s="326" t="s">
        <v>95</v>
      </c>
      <c r="I600" s="160">
        <f>(1.8*3.3)+(1.8*3.3)</f>
        <v>11.879999999999999</v>
      </c>
      <c r="J600" s="140" t="s">
        <v>96</v>
      </c>
      <c r="K600" s="142">
        <f t="shared" si="64"/>
        <v>11.879999999999999</v>
      </c>
      <c r="L600" s="161">
        <v>0.99199999999999999</v>
      </c>
      <c r="M600" s="144">
        <v>384000</v>
      </c>
      <c r="N600" s="145">
        <v>0.8</v>
      </c>
      <c r="O600" s="144">
        <f t="shared" si="65"/>
        <v>384000</v>
      </c>
      <c r="P600" s="45">
        <f t="shared" si="66"/>
        <v>3620000</v>
      </c>
      <c r="Q600" s="144" t="s">
        <v>97</v>
      </c>
      <c r="R600" s="144" t="s">
        <v>97</v>
      </c>
      <c r="S600" s="45">
        <f t="shared" si="67"/>
        <v>3620000</v>
      </c>
      <c r="T600" s="138" t="s">
        <v>447</v>
      </c>
    </row>
    <row r="601" spans="1:20" s="19" customFormat="1" ht="30" customHeight="1" x14ac:dyDescent="0.3">
      <c r="A601" s="165"/>
      <c r="B601" s="166" t="s">
        <v>55</v>
      </c>
      <c r="C601" s="166"/>
      <c r="D601" s="159"/>
      <c r="E601" s="159"/>
      <c r="F601" s="167"/>
      <c r="G601" s="167"/>
      <c r="H601" s="167"/>
      <c r="I601" s="168"/>
      <c r="J601" s="167"/>
      <c r="K601" s="167"/>
      <c r="L601" s="167"/>
      <c r="M601" s="167"/>
      <c r="N601" s="167"/>
      <c r="O601" s="167"/>
      <c r="P601" s="167"/>
      <c r="Q601" s="167"/>
      <c r="R601" s="167"/>
      <c r="S601" s="45">
        <f>SUM(S583:S600)</f>
        <v>64086000</v>
      </c>
      <c r="T601" s="167"/>
    </row>
    <row r="602" spans="1:20" s="19" customFormat="1" ht="30" customHeight="1" x14ac:dyDescent="0.3">
      <c r="A602" s="171" t="s">
        <v>131</v>
      </c>
      <c r="B602" s="172" t="s">
        <v>132</v>
      </c>
      <c r="C602" s="173"/>
      <c r="D602" s="466"/>
      <c r="E602" s="466"/>
      <c r="F602" s="466"/>
      <c r="G602" s="466"/>
      <c r="H602" s="466"/>
      <c r="I602" s="467"/>
      <c r="J602" s="466"/>
      <c r="K602" s="468"/>
      <c r="L602" s="468"/>
      <c r="M602" s="466"/>
      <c r="N602" s="468"/>
      <c r="O602" s="466"/>
      <c r="P602" s="469"/>
      <c r="Q602" s="466"/>
      <c r="R602" s="466"/>
      <c r="S602" s="470"/>
      <c r="T602" s="466"/>
    </row>
    <row r="603" spans="1:20" s="19" customFormat="1" ht="30" customHeight="1" x14ac:dyDescent="0.3">
      <c r="A603" s="171" t="s">
        <v>133</v>
      </c>
      <c r="B603" s="172" t="s">
        <v>134</v>
      </c>
      <c r="C603" s="174"/>
      <c r="D603" s="174"/>
      <c r="E603" s="174"/>
      <c r="F603" s="174"/>
      <c r="G603" s="174"/>
      <c r="H603" s="174"/>
      <c r="I603" s="175"/>
      <c r="J603" s="174"/>
      <c r="K603" s="176"/>
      <c r="L603" s="176"/>
      <c r="M603" s="174"/>
      <c r="N603" s="176"/>
      <c r="O603" s="174"/>
      <c r="P603" s="177"/>
      <c r="Q603" s="174"/>
      <c r="R603" s="174"/>
      <c r="S603" s="174"/>
      <c r="T603" s="174"/>
    </row>
    <row r="604" spans="1:20" s="19" customFormat="1" ht="30" customHeight="1" x14ac:dyDescent="0.3">
      <c r="A604" s="178" t="s">
        <v>135</v>
      </c>
      <c r="B604" s="756" t="s">
        <v>448</v>
      </c>
      <c r="C604" s="757"/>
      <c r="D604" s="757"/>
      <c r="E604" s="757"/>
      <c r="F604" s="757"/>
      <c r="G604" s="757"/>
      <c r="H604" s="757"/>
      <c r="I604" s="757"/>
      <c r="J604" s="757"/>
      <c r="K604" s="757"/>
      <c r="L604" s="757"/>
      <c r="M604" s="757"/>
      <c r="N604" s="757"/>
      <c r="O604" s="757"/>
      <c r="P604" s="757"/>
      <c r="Q604" s="757"/>
      <c r="R604" s="758"/>
      <c r="S604" s="29">
        <f>+S601</f>
        <v>64086000</v>
      </c>
      <c r="T604" s="174" t="s">
        <v>137</v>
      </c>
    </row>
    <row r="605" spans="1:20" ht="22.5" customHeight="1" x14ac:dyDescent="0.3">
      <c r="A605" s="474"/>
      <c r="B605" s="829" t="s">
        <v>449</v>
      </c>
      <c r="C605" s="773"/>
      <c r="D605" s="773"/>
      <c r="E605" s="773"/>
      <c r="F605" s="773"/>
      <c r="G605" s="773"/>
      <c r="H605" s="773"/>
      <c r="I605" s="773"/>
      <c r="J605" s="773"/>
      <c r="K605" s="773"/>
      <c r="L605" s="773"/>
      <c r="M605" s="773"/>
      <c r="N605" s="773"/>
      <c r="O605" s="773"/>
      <c r="P605" s="773"/>
      <c r="Q605" s="773"/>
      <c r="R605" s="773"/>
      <c r="S605" s="773"/>
      <c r="T605" s="474"/>
    </row>
    <row r="606" spans="1:20" ht="18.75" customHeight="1" x14ac:dyDescent="0.3">
      <c r="A606" s="474"/>
      <c r="B606" s="772" t="s">
        <v>1</v>
      </c>
      <c r="C606" s="773"/>
      <c r="D606" s="773"/>
      <c r="E606" s="773"/>
      <c r="F606" s="773"/>
      <c r="G606" s="773"/>
      <c r="H606" s="773"/>
      <c r="I606" s="773"/>
      <c r="J606" s="773"/>
      <c r="K606" s="773"/>
      <c r="L606" s="773"/>
      <c r="M606" s="773"/>
      <c r="N606" s="773"/>
      <c r="O606" s="773"/>
      <c r="P606" s="773"/>
      <c r="Q606" s="773"/>
      <c r="R606" s="773"/>
      <c r="S606" s="773"/>
      <c r="T606" s="474"/>
    </row>
    <row r="607" spans="1:20" ht="18.75" customHeight="1" x14ac:dyDescent="0.3">
      <c r="A607" s="474"/>
      <c r="B607" s="772" t="s">
        <v>2</v>
      </c>
      <c r="C607" s="773"/>
      <c r="D607" s="773"/>
      <c r="E607" s="773"/>
      <c r="F607" s="773"/>
      <c r="G607" s="773"/>
      <c r="H607" s="773"/>
      <c r="I607" s="773"/>
      <c r="J607" s="773"/>
      <c r="K607" s="773"/>
      <c r="L607" s="773"/>
      <c r="M607" s="773"/>
      <c r="N607" s="773"/>
      <c r="O607" s="773"/>
      <c r="P607" s="773"/>
      <c r="Q607" s="773"/>
      <c r="R607" s="773"/>
      <c r="S607" s="773"/>
      <c r="T607" s="474"/>
    </row>
    <row r="608" spans="1:20" ht="18.75" customHeight="1" x14ac:dyDescent="0.3">
      <c r="A608" s="475"/>
      <c r="B608" s="809" t="str">
        <f>B568</f>
        <v>(Kèm theo Quyết định số     /QĐ-UBND ngày     tháng     năm 2026 của Ủy ban nhân dân xã Thuận An)</v>
      </c>
      <c r="C608" s="773"/>
      <c r="D608" s="773"/>
      <c r="E608" s="773"/>
      <c r="F608" s="773"/>
      <c r="G608" s="773"/>
      <c r="H608" s="773"/>
      <c r="I608" s="773"/>
      <c r="J608" s="773"/>
      <c r="K608" s="773"/>
      <c r="L608" s="773"/>
      <c r="M608" s="773"/>
      <c r="N608" s="773"/>
      <c r="O608" s="773"/>
      <c r="P608" s="773"/>
      <c r="Q608" s="773"/>
      <c r="R608" s="773"/>
      <c r="S608" s="773"/>
      <c r="T608" s="475"/>
    </row>
    <row r="609" spans="1:20" s="19" customFormat="1" ht="25.5" customHeight="1" thickBot="1" x14ac:dyDescent="0.35">
      <c r="A609" s="272" t="s">
        <v>3</v>
      </c>
      <c r="B609" s="273" t="s">
        <v>4</v>
      </c>
      <c r="C609" s="233"/>
      <c r="D609" s="233"/>
      <c r="E609" s="233"/>
      <c r="F609" s="233"/>
      <c r="G609" s="233"/>
      <c r="H609" s="233"/>
      <c r="I609" s="234"/>
      <c r="J609" s="233"/>
      <c r="K609" s="235"/>
      <c r="L609" s="235"/>
      <c r="M609" s="233"/>
      <c r="N609" s="235"/>
      <c r="O609" s="233"/>
      <c r="P609" s="236"/>
      <c r="Q609" s="233"/>
      <c r="R609" s="233"/>
      <c r="S609" s="237"/>
      <c r="T609" s="233"/>
    </row>
    <row r="610" spans="1:20" s="19" customFormat="1" ht="41.25" customHeight="1" x14ac:dyDescent="0.3">
      <c r="A610" s="810" t="s">
        <v>5</v>
      </c>
      <c r="B610" s="812" t="s">
        <v>6</v>
      </c>
      <c r="C610" s="814" t="s">
        <v>7</v>
      </c>
      <c r="D610" s="817" t="s">
        <v>959</v>
      </c>
      <c r="E610" s="818"/>
      <c r="F610" s="819"/>
      <c r="G610" s="817" t="s">
        <v>960</v>
      </c>
      <c r="H610" s="818"/>
      <c r="I610" s="819"/>
      <c r="J610" s="817" t="s">
        <v>961</v>
      </c>
      <c r="K610" s="818"/>
      <c r="L610" s="819"/>
      <c r="M610" s="820" t="s">
        <v>8</v>
      </c>
      <c r="N610" s="823" t="s">
        <v>9</v>
      </c>
      <c r="O610" s="823" t="s">
        <v>10</v>
      </c>
      <c r="P610" s="824" t="s">
        <v>11</v>
      </c>
      <c r="Q610" s="824" t="s">
        <v>12</v>
      </c>
      <c r="R610" s="824" t="s">
        <v>13</v>
      </c>
      <c r="S610" s="812" t="s">
        <v>14</v>
      </c>
      <c r="T610" s="825" t="s">
        <v>15</v>
      </c>
    </row>
    <row r="611" spans="1:20" s="19" customFormat="1" ht="41.25" customHeight="1" x14ac:dyDescent="0.3">
      <c r="A611" s="811"/>
      <c r="B611" s="813"/>
      <c r="C611" s="815"/>
      <c r="D611" s="827" t="s">
        <v>16</v>
      </c>
      <c r="E611" s="803" t="s">
        <v>17</v>
      </c>
      <c r="F611" s="828"/>
      <c r="G611" s="827" t="s">
        <v>16</v>
      </c>
      <c r="H611" s="803" t="s">
        <v>17</v>
      </c>
      <c r="I611" s="828"/>
      <c r="J611" s="800" t="s">
        <v>18</v>
      </c>
      <c r="K611" s="803" t="s">
        <v>17</v>
      </c>
      <c r="L611" s="828"/>
      <c r="M611" s="821"/>
      <c r="N611" s="813"/>
      <c r="O611" s="813"/>
      <c r="P611" s="813"/>
      <c r="Q611" s="813"/>
      <c r="R611" s="813"/>
      <c r="S611" s="813"/>
      <c r="T611" s="826"/>
    </row>
    <row r="612" spans="1:20" s="19" customFormat="1" ht="63" customHeight="1" x14ac:dyDescent="0.3">
      <c r="A612" s="801"/>
      <c r="B612" s="766"/>
      <c r="C612" s="816"/>
      <c r="D612" s="801"/>
      <c r="E612" s="167" t="s">
        <v>962</v>
      </c>
      <c r="F612" s="185" t="s">
        <v>963</v>
      </c>
      <c r="G612" s="801"/>
      <c r="H612" s="167" t="s">
        <v>962</v>
      </c>
      <c r="I612" s="186" t="s">
        <v>963</v>
      </c>
      <c r="J612" s="801"/>
      <c r="K612" s="167" t="s">
        <v>962</v>
      </c>
      <c r="L612" s="185" t="s">
        <v>963</v>
      </c>
      <c r="M612" s="822"/>
      <c r="N612" s="766"/>
      <c r="O612" s="766"/>
      <c r="P612" s="766"/>
      <c r="Q612" s="766"/>
      <c r="R612" s="766"/>
      <c r="S612" s="766"/>
      <c r="T612" s="808"/>
    </row>
    <row r="613" spans="1:20" s="19" customFormat="1" ht="91.5" customHeight="1" x14ac:dyDescent="0.3">
      <c r="A613" s="179" t="s">
        <v>450</v>
      </c>
      <c r="B613" s="44" t="s">
        <v>451</v>
      </c>
      <c r="C613" s="49" t="s">
        <v>452</v>
      </c>
      <c r="D613" s="180">
        <f>E613+F613</f>
        <v>125</v>
      </c>
      <c r="E613" s="143">
        <v>90</v>
      </c>
      <c r="F613" s="181">
        <v>35</v>
      </c>
      <c r="G613" s="180">
        <f>+H613+I613</f>
        <v>125</v>
      </c>
      <c r="H613" s="143">
        <v>90</v>
      </c>
      <c r="I613" s="182">
        <v>35</v>
      </c>
      <c r="J613" s="180">
        <v>35</v>
      </c>
      <c r="K613" s="143">
        <v>0</v>
      </c>
      <c r="L613" s="181">
        <f>J613</f>
        <v>35</v>
      </c>
      <c r="M613" s="377">
        <v>0</v>
      </c>
      <c r="N613" s="183">
        <f>L613/F613</f>
        <v>1</v>
      </c>
      <c r="O613" s="142" t="s">
        <v>21</v>
      </c>
      <c r="P613" s="144" t="s">
        <v>140</v>
      </c>
      <c r="Q613" s="144" t="s">
        <v>23</v>
      </c>
      <c r="R613" s="138" t="s">
        <v>24</v>
      </c>
      <c r="S613" s="138" t="s">
        <v>21</v>
      </c>
      <c r="T613" s="184" t="s">
        <v>453</v>
      </c>
    </row>
    <row r="614" spans="1:20" s="19" customFormat="1" ht="36" customHeight="1" x14ac:dyDescent="0.3">
      <c r="A614" s="272" t="s">
        <v>27</v>
      </c>
      <c r="B614" s="273" t="s">
        <v>777</v>
      </c>
      <c r="C614" s="233"/>
      <c r="D614" s="233"/>
      <c r="E614" s="233"/>
      <c r="F614" s="233"/>
      <c r="G614" s="233"/>
      <c r="H614" s="233"/>
      <c r="I614" s="234"/>
      <c r="J614" s="233"/>
      <c r="K614" s="235"/>
      <c r="L614" s="235"/>
      <c r="M614" s="233"/>
      <c r="N614" s="235"/>
      <c r="O614" s="233"/>
      <c r="P614" s="236"/>
      <c r="Q614" s="233"/>
      <c r="R614" s="233"/>
      <c r="S614" s="237"/>
      <c r="T614" s="233"/>
    </row>
    <row r="615" spans="1:20" s="19" customFormat="1" ht="57.75" customHeight="1" x14ac:dyDescent="0.3">
      <c r="A615" s="781" t="s">
        <v>5</v>
      </c>
      <c r="B615" s="783" t="s">
        <v>663</v>
      </c>
      <c r="C615" s="783" t="s">
        <v>664</v>
      </c>
      <c r="D615" s="785" t="s">
        <v>665</v>
      </c>
      <c r="E615" s="786"/>
      <c r="F615" s="786"/>
      <c r="G615" s="787"/>
      <c r="H615" s="788" t="s">
        <v>666</v>
      </c>
      <c r="I615" s="790" t="s">
        <v>667</v>
      </c>
      <c r="J615" s="760"/>
      <c r="K615" s="791"/>
      <c r="L615" s="792" t="s">
        <v>668</v>
      </c>
      <c r="M615" s="793"/>
      <c r="N615" s="794" t="s">
        <v>43</v>
      </c>
      <c r="O615" s="783" t="s">
        <v>669</v>
      </c>
      <c r="P615" s="796" t="s">
        <v>670</v>
      </c>
      <c r="Q615" s="796" t="s">
        <v>42</v>
      </c>
      <c r="R615" s="783" t="s">
        <v>671</v>
      </c>
      <c r="S615" s="783" t="s">
        <v>44</v>
      </c>
      <c r="T615" s="798" t="s">
        <v>15</v>
      </c>
    </row>
    <row r="616" spans="1:20" s="19" customFormat="1" ht="95.25" customHeight="1" x14ac:dyDescent="0.3">
      <c r="A616" s="782"/>
      <c r="B616" s="784"/>
      <c r="C616" s="784"/>
      <c r="D616" s="407" t="s">
        <v>672</v>
      </c>
      <c r="E616" s="407" t="s">
        <v>673</v>
      </c>
      <c r="F616" s="407" t="s">
        <v>759</v>
      </c>
      <c r="G616" s="407" t="s">
        <v>17</v>
      </c>
      <c r="H616" s="789"/>
      <c r="I616" s="125" t="s">
        <v>674</v>
      </c>
      <c r="J616" s="418" t="s">
        <v>675</v>
      </c>
      <c r="K616" s="81" t="s">
        <v>676</v>
      </c>
      <c r="L616" s="82" t="s">
        <v>677</v>
      </c>
      <c r="M616" s="83" t="s">
        <v>678</v>
      </c>
      <c r="N616" s="795"/>
      <c r="O616" s="784"/>
      <c r="P616" s="797"/>
      <c r="Q616" s="797"/>
      <c r="R616" s="784"/>
      <c r="S616" s="784"/>
      <c r="T616" s="799"/>
    </row>
    <row r="617" spans="1:20" s="19" customFormat="1" ht="106.5" customHeight="1" x14ac:dyDescent="0.3">
      <c r="A617" s="226" t="s">
        <v>19</v>
      </c>
      <c r="B617" s="227" t="s">
        <v>679</v>
      </c>
      <c r="C617" s="228" t="s">
        <v>801</v>
      </c>
      <c r="D617" s="418" t="s">
        <v>112</v>
      </c>
      <c r="E617" s="418" t="s">
        <v>680</v>
      </c>
      <c r="F617" s="419">
        <v>36.4</v>
      </c>
      <c r="G617" s="420" t="s">
        <v>681</v>
      </c>
      <c r="H617" s="420" t="s">
        <v>802</v>
      </c>
      <c r="I617" s="420">
        <v>35</v>
      </c>
      <c r="J617" s="419">
        <v>0</v>
      </c>
      <c r="K617" s="419">
        <f>I617+J617</f>
        <v>35</v>
      </c>
      <c r="L617" s="419">
        <v>1.4</v>
      </c>
      <c r="M617" s="134" t="s">
        <v>734</v>
      </c>
      <c r="N617" s="260">
        <v>1</v>
      </c>
      <c r="O617" s="423">
        <v>1</v>
      </c>
      <c r="P617" s="231">
        <v>856000</v>
      </c>
      <c r="Q617" s="231">
        <f>+ROUND((P617*N617*K617),-3)</f>
        <v>29960000</v>
      </c>
      <c r="R617" s="231">
        <f>-ROUND((38000*J617*0.5%),-3)</f>
        <v>0</v>
      </c>
      <c r="S617" s="408">
        <f>+Q617+R617</f>
        <v>29960000</v>
      </c>
      <c r="T617" s="227" t="s">
        <v>833</v>
      </c>
    </row>
    <row r="618" spans="1:20" s="19" customFormat="1" ht="36" customHeight="1" x14ac:dyDescent="0.3">
      <c r="A618" s="272" t="s">
        <v>28</v>
      </c>
      <c r="B618" s="273" t="s">
        <v>315</v>
      </c>
      <c r="C618" s="233"/>
      <c r="D618" s="233"/>
      <c r="E618" s="233"/>
      <c r="F618" s="233"/>
      <c r="G618" s="233"/>
      <c r="H618" s="233"/>
      <c r="I618" s="234"/>
      <c r="J618" s="233"/>
      <c r="K618" s="235"/>
      <c r="L618" s="235"/>
      <c r="M618" s="233"/>
      <c r="N618" s="235"/>
      <c r="O618" s="233"/>
      <c r="P618" s="236"/>
      <c r="Q618" s="237"/>
      <c r="R618" s="237"/>
      <c r="S618" s="237"/>
      <c r="T618" s="233"/>
    </row>
    <row r="619" spans="1:20" s="19" customFormat="1" ht="36" customHeight="1" x14ac:dyDescent="0.3">
      <c r="A619" s="272" t="s">
        <v>56</v>
      </c>
      <c r="B619" s="273" t="s">
        <v>201</v>
      </c>
      <c r="C619" s="233"/>
      <c r="D619" s="233"/>
      <c r="E619" s="233"/>
      <c r="F619" s="233"/>
      <c r="G619" s="233"/>
      <c r="H619" s="233"/>
      <c r="I619" s="234"/>
      <c r="J619" s="233"/>
      <c r="K619" s="235"/>
      <c r="L619" s="235"/>
      <c r="M619" s="233"/>
      <c r="N619" s="235"/>
      <c r="O619" s="233"/>
      <c r="P619" s="236"/>
      <c r="Q619" s="233"/>
      <c r="R619" s="233"/>
      <c r="S619" s="203">
        <f>S625</f>
        <v>2901000</v>
      </c>
      <c r="T619" s="233"/>
    </row>
    <row r="620" spans="1:20" s="19" customFormat="1" ht="17.25" customHeight="1" x14ac:dyDescent="0.3">
      <c r="A620" s="765"/>
      <c r="B620" s="767" t="s">
        <v>51</v>
      </c>
      <c r="C620" s="767" t="s">
        <v>58</v>
      </c>
      <c r="D620" s="768" t="s">
        <v>59</v>
      </c>
      <c r="E620" s="769" t="s">
        <v>60</v>
      </c>
      <c r="F620" s="769" t="s">
        <v>61</v>
      </c>
      <c r="G620" s="769" t="s">
        <v>62</v>
      </c>
      <c r="H620" s="769" t="s">
        <v>63</v>
      </c>
      <c r="I620" s="770" t="s">
        <v>64</v>
      </c>
      <c r="J620" s="757"/>
      <c r="K620" s="757"/>
      <c r="L620" s="757"/>
      <c r="M620" s="758"/>
      <c r="N620" s="771" t="s">
        <v>3</v>
      </c>
      <c r="O620" s="771" t="s">
        <v>65</v>
      </c>
      <c r="P620" s="771" t="s">
        <v>66</v>
      </c>
      <c r="Q620" s="771" t="s">
        <v>67</v>
      </c>
      <c r="R620" s="767" t="s">
        <v>68</v>
      </c>
      <c r="S620" s="767" t="s">
        <v>69</v>
      </c>
      <c r="T620" s="767" t="s">
        <v>70</v>
      </c>
    </row>
    <row r="621" spans="1:20" s="19" customFormat="1" ht="18.75" customHeight="1" x14ac:dyDescent="0.3">
      <c r="A621" s="766"/>
      <c r="B621" s="766"/>
      <c r="C621" s="766"/>
      <c r="D621" s="766"/>
      <c r="E621" s="766"/>
      <c r="F621" s="766"/>
      <c r="G621" s="766"/>
      <c r="H621" s="766"/>
      <c r="I621" s="168" t="s">
        <v>71</v>
      </c>
      <c r="J621" s="159" t="s">
        <v>72</v>
      </c>
      <c r="K621" s="159" t="s">
        <v>73</v>
      </c>
      <c r="L621" s="45" t="s">
        <v>74</v>
      </c>
      <c r="M621" s="204" t="s">
        <v>75</v>
      </c>
      <c r="N621" s="766"/>
      <c r="O621" s="766"/>
      <c r="P621" s="766"/>
      <c r="Q621" s="766"/>
      <c r="R621" s="766"/>
      <c r="S621" s="766"/>
      <c r="T621" s="766"/>
    </row>
    <row r="622" spans="1:20" s="19" customFormat="1" ht="93" customHeight="1" x14ac:dyDescent="0.3">
      <c r="A622" s="196" t="s">
        <v>5</v>
      </c>
      <c r="B622" s="49" t="s">
        <v>76</v>
      </c>
      <c r="C622" s="49" t="s">
        <v>77</v>
      </c>
      <c r="D622" s="49" t="s">
        <v>78</v>
      </c>
      <c r="E622" s="159" t="s">
        <v>79</v>
      </c>
      <c r="F622" s="159" t="s">
        <v>80</v>
      </c>
      <c r="G622" s="159" t="s">
        <v>81</v>
      </c>
      <c r="H622" s="45" t="s">
        <v>82</v>
      </c>
      <c r="I622" s="168" t="s">
        <v>83</v>
      </c>
      <c r="J622" s="242" t="s">
        <v>84</v>
      </c>
      <c r="K622" s="242" t="s">
        <v>85</v>
      </c>
      <c r="L622" s="49" t="s">
        <v>86</v>
      </c>
      <c r="M622" s="204" t="s">
        <v>87</v>
      </c>
      <c r="N622" s="159" t="s">
        <v>88</v>
      </c>
      <c r="O622" s="159" t="s">
        <v>89</v>
      </c>
      <c r="P622" s="159" t="s">
        <v>90</v>
      </c>
      <c r="Q622" s="159" t="s">
        <v>91</v>
      </c>
      <c r="R622" s="159" t="s">
        <v>92</v>
      </c>
      <c r="S622" s="159" t="s">
        <v>964</v>
      </c>
      <c r="T622" s="159" t="s">
        <v>15</v>
      </c>
    </row>
    <row r="623" spans="1:20" ht="183" customHeight="1" x14ac:dyDescent="0.3">
      <c r="A623" s="628">
        <v>1</v>
      </c>
      <c r="B623" s="498" t="s">
        <v>93</v>
      </c>
      <c r="C623" s="498" t="s">
        <v>1056</v>
      </c>
      <c r="D623" s="502" t="s">
        <v>1021</v>
      </c>
      <c r="E623" s="502" t="s">
        <v>454</v>
      </c>
      <c r="F623" s="632"/>
      <c r="G623" s="551">
        <f>2023-E623</f>
        <v>7</v>
      </c>
      <c r="H623" s="552" t="s">
        <v>95</v>
      </c>
      <c r="I623" s="501">
        <f>5*(1.4+0.4)</f>
        <v>9</v>
      </c>
      <c r="J623" s="461" t="s">
        <v>96</v>
      </c>
      <c r="K623" s="629">
        <f>+I623-J623</f>
        <v>9</v>
      </c>
      <c r="L623" s="462">
        <v>0.99199999999999999</v>
      </c>
      <c r="M623" s="463">
        <v>1323000</v>
      </c>
      <c r="N623" s="464">
        <v>0.3</v>
      </c>
      <c r="O623" s="463">
        <f>+M623*80%*90%</f>
        <v>952560</v>
      </c>
      <c r="P623" s="459">
        <f>+ROUND((K623*L623*O623*N623),-3)</f>
        <v>2551000</v>
      </c>
      <c r="Q623" s="463" t="s">
        <v>97</v>
      </c>
      <c r="R623" s="463" t="s">
        <v>97</v>
      </c>
      <c r="S623" s="459">
        <f>P623</f>
        <v>2551000</v>
      </c>
      <c r="T623" s="460" t="s">
        <v>1057</v>
      </c>
    </row>
    <row r="624" spans="1:20" ht="168.75" customHeight="1" x14ac:dyDescent="0.3">
      <c r="A624" s="628" t="s">
        <v>101</v>
      </c>
      <c r="B624" s="498" t="s">
        <v>102</v>
      </c>
      <c r="C624" s="498" t="s">
        <v>942</v>
      </c>
      <c r="D624" s="502" t="s">
        <v>1046</v>
      </c>
      <c r="E624" s="502" t="s">
        <v>454</v>
      </c>
      <c r="F624" s="632"/>
      <c r="G624" s="551">
        <f>2023-E624</f>
        <v>7</v>
      </c>
      <c r="H624" s="552" t="s">
        <v>95</v>
      </c>
      <c r="I624" s="501">
        <f>5*0.3*0.4</f>
        <v>0.60000000000000009</v>
      </c>
      <c r="J624" s="461" t="s">
        <v>96</v>
      </c>
      <c r="K624" s="629">
        <f>+I624-J624</f>
        <v>0.60000000000000009</v>
      </c>
      <c r="L624" s="462">
        <v>0.99199999999999999</v>
      </c>
      <c r="M624" s="463">
        <v>1961000</v>
      </c>
      <c r="N624" s="464">
        <v>0.3</v>
      </c>
      <c r="O624" s="463">
        <f>+M624</f>
        <v>1961000</v>
      </c>
      <c r="P624" s="459">
        <f>+ROUND((K624*L624*O624*N624),-3)</f>
        <v>350000</v>
      </c>
      <c r="Q624" s="463" t="s">
        <v>97</v>
      </c>
      <c r="R624" s="463" t="s">
        <v>97</v>
      </c>
      <c r="S624" s="459">
        <f>P624</f>
        <v>350000</v>
      </c>
      <c r="T624" s="460" t="s">
        <v>943</v>
      </c>
    </row>
    <row r="625" spans="1:20" s="19" customFormat="1" ht="27.75" customHeight="1" x14ac:dyDescent="0.3">
      <c r="A625" s="165"/>
      <c r="B625" s="166" t="s">
        <v>55</v>
      </c>
      <c r="C625" s="166"/>
      <c r="D625" s="159"/>
      <c r="E625" s="159"/>
      <c r="F625" s="167"/>
      <c r="G625" s="167"/>
      <c r="H625" s="167"/>
      <c r="I625" s="168"/>
      <c r="J625" s="167"/>
      <c r="K625" s="167"/>
      <c r="L625" s="167"/>
      <c r="M625" s="167"/>
      <c r="N625" s="167"/>
      <c r="O625" s="167"/>
      <c r="P625" s="167"/>
      <c r="Q625" s="167"/>
      <c r="R625" s="167"/>
      <c r="S625" s="45">
        <f>SUM(S623:S624)</f>
        <v>2901000</v>
      </c>
      <c r="T625" s="167"/>
    </row>
    <row r="626" spans="1:20" s="19" customFormat="1" ht="27.75" customHeight="1" x14ac:dyDescent="0.3">
      <c r="A626" s="171" t="s">
        <v>131</v>
      </c>
      <c r="B626" s="172" t="s">
        <v>132</v>
      </c>
      <c r="C626" s="173"/>
      <c r="D626" s="466"/>
      <c r="E626" s="466"/>
      <c r="F626" s="466"/>
      <c r="G626" s="466"/>
      <c r="H626" s="466"/>
      <c r="I626" s="467"/>
      <c r="J626" s="466"/>
      <c r="K626" s="468"/>
      <c r="L626" s="468"/>
      <c r="M626" s="466"/>
      <c r="N626" s="468"/>
      <c r="O626" s="466"/>
      <c r="P626" s="469"/>
      <c r="Q626" s="466"/>
      <c r="R626" s="466"/>
      <c r="S626" s="470"/>
      <c r="T626" s="466"/>
    </row>
    <row r="627" spans="1:20" s="19" customFormat="1" ht="27.75" customHeight="1" x14ac:dyDescent="0.3">
      <c r="A627" s="171" t="s">
        <v>133</v>
      </c>
      <c r="B627" s="172" t="s">
        <v>134</v>
      </c>
      <c r="C627" s="174"/>
      <c r="D627" s="174"/>
      <c r="E627" s="174"/>
      <c r="F627" s="174"/>
      <c r="G627" s="174"/>
      <c r="H627" s="174"/>
      <c r="I627" s="175"/>
      <c r="J627" s="174"/>
      <c r="K627" s="176"/>
      <c r="L627" s="176"/>
      <c r="M627" s="174"/>
      <c r="N627" s="176"/>
      <c r="O627" s="174"/>
      <c r="P627" s="177"/>
      <c r="Q627" s="174"/>
      <c r="R627" s="174"/>
      <c r="S627" s="174"/>
      <c r="T627" s="174"/>
    </row>
    <row r="628" spans="1:20" s="19" customFormat="1" ht="28.5" customHeight="1" x14ac:dyDescent="0.3">
      <c r="A628" s="178" t="s">
        <v>135</v>
      </c>
      <c r="B628" s="756" t="s">
        <v>455</v>
      </c>
      <c r="C628" s="757"/>
      <c r="D628" s="757"/>
      <c r="E628" s="757"/>
      <c r="F628" s="757"/>
      <c r="G628" s="757"/>
      <c r="H628" s="757"/>
      <c r="I628" s="757"/>
      <c r="J628" s="757"/>
      <c r="K628" s="757"/>
      <c r="L628" s="757"/>
      <c r="M628" s="757"/>
      <c r="N628" s="757"/>
      <c r="O628" s="757"/>
      <c r="P628" s="757"/>
      <c r="Q628" s="757"/>
      <c r="R628" s="758"/>
      <c r="S628" s="29">
        <f>+S625</f>
        <v>2901000</v>
      </c>
      <c r="T628" s="174" t="s">
        <v>137</v>
      </c>
    </row>
    <row r="629" spans="1:20" s="19" customFormat="1" ht="27.75" customHeight="1" x14ac:dyDescent="0.3">
      <c r="A629" s="633"/>
      <c r="B629" s="874" t="s">
        <v>456</v>
      </c>
      <c r="C629" s="773"/>
      <c r="D629" s="773"/>
      <c r="E629" s="773"/>
      <c r="F629" s="773"/>
      <c r="G629" s="773"/>
      <c r="H629" s="773"/>
      <c r="I629" s="773"/>
      <c r="J629" s="773"/>
      <c r="K629" s="773"/>
      <c r="L629" s="773"/>
      <c r="M629" s="773"/>
      <c r="N629" s="773"/>
      <c r="O629" s="773"/>
      <c r="P629" s="773"/>
      <c r="Q629" s="773"/>
      <c r="R629" s="773"/>
      <c r="S629" s="773"/>
      <c r="T629" s="633"/>
    </row>
    <row r="630" spans="1:20" s="19" customFormat="1" ht="18.75" customHeight="1" x14ac:dyDescent="0.3">
      <c r="A630" s="633"/>
      <c r="B630" s="875" t="s">
        <v>1</v>
      </c>
      <c r="C630" s="773"/>
      <c r="D630" s="773"/>
      <c r="E630" s="773"/>
      <c r="F630" s="773"/>
      <c r="G630" s="773"/>
      <c r="H630" s="773"/>
      <c r="I630" s="773"/>
      <c r="J630" s="773"/>
      <c r="K630" s="773"/>
      <c r="L630" s="773"/>
      <c r="M630" s="773"/>
      <c r="N630" s="773"/>
      <c r="O630" s="773"/>
      <c r="P630" s="773"/>
      <c r="Q630" s="773"/>
      <c r="R630" s="773"/>
      <c r="S630" s="773"/>
      <c r="T630" s="633"/>
    </row>
    <row r="631" spans="1:20" s="19" customFormat="1" ht="18.75" customHeight="1" x14ac:dyDescent="0.3">
      <c r="A631" s="633"/>
      <c r="B631" s="875" t="s">
        <v>2</v>
      </c>
      <c r="C631" s="773"/>
      <c r="D631" s="773"/>
      <c r="E631" s="773"/>
      <c r="F631" s="773"/>
      <c r="G631" s="773"/>
      <c r="H631" s="773"/>
      <c r="I631" s="773"/>
      <c r="J631" s="773"/>
      <c r="K631" s="773"/>
      <c r="L631" s="773"/>
      <c r="M631" s="773"/>
      <c r="N631" s="773"/>
      <c r="O631" s="773"/>
      <c r="P631" s="773"/>
      <c r="Q631" s="773"/>
      <c r="R631" s="773"/>
      <c r="S631" s="773"/>
      <c r="T631" s="633"/>
    </row>
    <row r="632" spans="1:20" s="19" customFormat="1" ht="18.75" customHeight="1" x14ac:dyDescent="0.3">
      <c r="A632" s="876" t="str">
        <f>B608</f>
        <v>(Kèm theo Quyết định số     /QĐ-UBND ngày     tháng     năm 2026 của Ủy ban nhân dân xã Thuận An)</v>
      </c>
      <c r="B632" s="876"/>
      <c r="C632" s="876"/>
      <c r="D632" s="876"/>
      <c r="E632" s="876"/>
      <c r="F632" s="876"/>
      <c r="G632" s="876"/>
      <c r="H632" s="876"/>
      <c r="I632" s="876"/>
      <c r="J632" s="876"/>
      <c r="K632" s="876"/>
      <c r="L632" s="876"/>
      <c r="M632" s="876"/>
      <c r="N632" s="876"/>
      <c r="O632" s="876"/>
      <c r="P632" s="876"/>
      <c r="Q632" s="876"/>
      <c r="R632" s="876"/>
      <c r="S632" s="876"/>
      <c r="T632" s="876"/>
    </row>
    <row r="633" spans="1:20" s="19" customFormat="1" ht="36" customHeight="1" thickBot="1" x14ac:dyDescent="0.35">
      <c r="A633" s="272" t="s">
        <v>3</v>
      </c>
      <c r="B633" s="273" t="s">
        <v>4</v>
      </c>
      <c r="C633" s="233"/>
      <c r="D633" s="233"/>
      <c r="E633" s="233"/>
      <c r="F633" s="233"/>
      <c r="G633" s="233"/>
      <c r="H633" s="233"/>
      <c r="I633" s="234"/>
      <c r="J633" s="233"/>
      <c r="K633" s="235"/>
      <c r="L633" s="235"/>
      <c r="M633" s="233"/>
      <c r="N633" s="235"/>
      <c r="O633" s="233"/>
      <c r="P633" s="236"/>
      <c r="Q633" s="233"/>
      <c r="R633" s="233"/>
      <c r="S633" s="237"/>
      <c r="T633" s="233"/>
    </row>
    <row r="634" spans="1:20" s="19" customFormat="1" ht="44.25" customHeight="1" x14ac:dyDescent="0.3">
      <c r="A634" s="810" t="s">
        <v>5</v>
      </c>
      <c r="B634" s="812" t="s">
        <v>6</v>
      </c>
      <c r="C634" s="814" t="s">
        <v>7</v>
      </c>
      <c r="D634" s="817" t="s">
        <v>959</v>
      </c>
      <c r="E634" s="818"/>
      <c r="F634" s="819"/>
      <c r="G634" s="817" t="s">
        <v>960</v>
      </c>
      <c r="H634" s="818"/>
      <c r="I634" s="819"/>
      <c r="J634" s="817" t="s">
        <v>961</v>
      </c>
      <c r="K634" s="818"/>
      <c r="L634" s="819"/>
      <c r="M634" s="820" t="s">
        <v>8</v>
      </c>
      <c r="N634" s="823" t="s">
        <v>9</v>
      </c>
      <c r="O634" s="823" t="s">
        <v>10</v>
      </c>
      <c r="P634" s="824" t="s">
        <v>11</v>
      </c>
      <c r="Q634" s="824" t="s">
        <v>12</v>
      </c>
      <c r="R634" s="824" t="s">
        <v>13</v>
      </c>
      <c r="S634" s="812" t="s">
        <v>14</v>
      </c>
      <c r="T634" s="825" t="s">
        <v>15</v>
      </c>
    </row>
    <row r="635" spans="1:20" s="19" customFormat="1" ht="30.75" customHeight="1" x14ac:dyDescent="0.3">
      <c r="A635" s="811"/>
      <c r="B635" s="813"/>
      <c r="C635" s="815"/>
      <c r="D635" s="827" t="s">
        <v>16</v>
      </c>
      <c r="E635" s="803" t="s">
        <v>17</v>
      </c>
      <c r="F635" s="828"/>
      <c r="G635" s="827" t="s">
        <v>16</v>
      </c>
      <c r="H635" s="803" t="s">
        <v>17</v>
      </c>
      <c r="I635" s="828"/>
      <c r="J635" s="800" t="s">
        <v>18</v>
      </c>
      <c r="K635" s="803" t="s">
        <v>17</v>
      </c>
      <c r="L635" s="828"/>
      <c r="M635" s="821"/>
      <c r="N635" s="813"/>
      <c r="O635" s="813"/>
      <c r="P635" s="813"/>
      <c r="Q635" s="813"/>
      <c r="R635" s="813"/>
      <c r="S635" s="813"/>
      <c r="T635" s="826"/>
    </row>
    <row r="636" spans="1:20" s="19" customFormat="1" ht="58.5" customHeight="1" x14ac:dyDescent="0.3">
      <c r="A636" s="801"/>
      <c r="B636" s="766"/>
      <c r="C636" s="816"/>
      <c r="D636" s="801"/>
      <c r="E636" s="167" t="s">
        <v>962</v>
      </c>
      <c r="F636" s="185" t="s">
        <v>963</v>
      </c>
      <c r="G636" s="801"/>
      <c r="H636" s="167" t="s">
        <v>962</v>
      </c>
      <c r="I636" s="186" t="s">
        <v>963</v>
      </c>
      <c r="J636" s="801"/>
      <c r="K636" s="167" t="s">
        <v>962</v>
      </c>
      <c r="L636" s="185" t="s">
        <v>963</v>
      </c>
      <c r="M636" s="822"/>
      <c r="N636" s="766"/>
      <c r="O636" s="766"/>
      <c r="P636" s="766"/>
      <c r="Q636" s="766"/>
      <c r="R636" s="766"/>
      <c r="S636" s="766"/>
      <c r="T636" s="808"/>
    </row>
    <row r="637" spans="1:20" s="19" customFormat="1" ht="69.75" customHeight="1" x14ac:dyDescent="0.3">
      <c r="A637" s="179" t="s">
        <v>457</v>
      </c>
      <c r="B637" s="44" t="s">
        <v>458</v>
      </c>
      <c r="C637" s="49" t="s">
        <v>459</v>
      </c>
      <c r="D637" s="180">
        <f>E637+F637</f>
        <v>155.69999999999999</v>
      </c>
      <c r="E637" s="143">
        <v>100</v>
      </c>
      <c r="F637" s="181">
        <v>55.7</v>
      </c>
      <c r="G637" s="180">
        <f>+H637+I637</f>
        <v>155.69999999999999</v>
      </c>
      <c r="H637" s="143">
        <v>100</v>
      </c>
      <c r="I637" s="182">
        <v>55.7</v>
      </c>
      <c r="J637" s="180">
        <v>39.200000000000003</v>
      </c>
      <c r="K637" s="143">
        <v>0</v>
      </c>
      <c r="L637" s="181">
        <f>J637</f>
        <v>39.200000000000003</v>
      </c>
      <c r="M637" s="377">
        <v>0</v>
      </c>
      <c r="N637" s="183">
        <f>L637/F637</f>
        <v>0.70377019748653502</v>
      </c>
      <c r="O637" s="142" t="s">
        <v>21</v>
      </c>
      <c r="P637" s="144" t="s">
        <v>436</v>
      </c>
      <c r="Q637" s="144" t="s">
        <v>23</v>
      </c>
      <c r="R637" s="138" t="s">
        <v>24</v>
      </c>
      <c r="S637" s="138" t="s">
        <v>25</v>
      </c>
      <c r="T637" s="184" t="s">
        <v>460</v>
      </c>
    </row>
    <row r="638" spans="1:20" s="19" customFormat="1" ht="18.75" customHeight="1" x14ac:dyDescent="0.3">
      <c r="A638" s="272" t="s">
        <v>27</v>
      </c>
      <c r="B638" s="273" t="s">
        <v>777</v>
      </c>
      <c r="C638" s="233"/>
      <c r="D638" s="233"/>
      <c r="E638" s="233"/>
      <c r="F638" s="233"/>
      <c r="G638" s="233"/>
      <c r="H638" s="233"/>
      <c r="I638" s="234"/>
      <c r="J638" s="233"/>
      <c r="K638" s="235"/>
      <c r="L638" s="235"/>
      <c r="M638" s="233"/>
      <c r="N638" s="235"/>
      <c r="O638" s="233"/>
      <c r="P638" s="236"/>
      <c r="Q638" s="233"/>
      <c r="R638" s="233"/>
      <c r="S638" s="237"/>
      <c r="T638" s="233"/>
    </row>
    <row r="639" spans="1:20" s="19" customFormat="1" ht="54" customHeight="1" x14ac:dyDescent="0.3">
      <c r="A639" s="781" t="s">
        <v>5</v>
      </c>
      <c r="B639" s="783" t="s">
        <v>663</v>
      </c>
      <c r="C639" s="783" t="s">
        <v>664</v>
      </c>
      <c r="D639" s="785" t="s">
        <v>665</v>
      </c>
      <c r="E639" s="786"/>
      <c r="F639" s="786"/>
      <c r="G639" s="787"/>
      <c r="H639" s="788" t="s">
        <v>666</v>
      </c>
      <c r="I639" s="790" t="s">
        <v>667</v>
      </c>
      <c r="J639" s="760"/>
      <c r="K639" s="791"/>
      <c r="L639" s="792" t="s">
        <v>668</v>
      </c>
      <c r="M639" s="793"/>
      <c r="N639" s="794" t="s">
        <v>43</v>
      </c>
      <c r="O639" s="783" t="s">
        <v>669</v>
      </c>
      <c r="P639" s="796" t="s">
        <v>670</v>
      </c>
      <c r="Q639" s="796" t="s">
        <v>42</v>
      </c>
      <c r="R639" s="783" t="s">
        <v>671</v>
      </c>
      <c r="S639" s="783" t="s">
        <v>44</v>
      </c>
      <c r="T639" s="798" t="s">
        <v>15</v>
      </c>
    </row>
    <row r="640" spans="1:20" s="19" customFormat="1" ht="92.25" customHeight="1" x14ac:dyDescent="0.3">
      <c r="A640" s="782"/>
      <c r="B640" s="784"/>
      <c r="C640" s="784"/>
      <c r="D640" s="407" t="s">
        <v>672</v>
      </c>
      <c r="E640" s="407" t="s">
        <v>673</v>
      </c>
      <c r="F640" s="407" t="s">
        <v>759</v>
      </c>
      <c r="G640" s="407" t="s">
        <v>17</v>
      </c>
      <c r="H640" s="789"/>
      <c r="I640" s="125" t="s">
        <v>674</v>
      </c>
      <c r="J640" s="418" t="s">
        <v>675</v>
      </c>
      <c r="K640" s="81" t="s">
        <v>676</v>
      </c>
      <c r="L640" s="82" t="s">
        <v>677</v>
      </c>
      <c r="M640" s="83" t="s">
        <v>678</v>
      </c>
      <c r="N640" s="795"/>
      <c r="O640" s="784"/>
      <c r="P640" s="797"/>
      <c r="Q640" s="797"/>
      <c r="R640" s="784"/>
      <c r="S640" s="784"/>
      <c r="T640" s="799"/>
    </row>
    <row r="641" spans="1:20" s="19" customFormat="1" ht="112.5" customHeight="1" x14ac:dyDescent="0.3">
      <c r="A641" s="226" t="s">
        <v>19</v>
      </c>
      <c r="B641" s="227" t="s">
        <v>679</v>
      </c>
      <c r="C641" s="228" t="s">
        <v>803</v>
      </c>
      <c r="D641" s="418" t="s">
        <v>107</v>
      </c>
      <c r="E641" s="418" t="s">
        <v>680</v>
      </c>
      <c r="F641" s="419">
        <v>39.200000000000003</v>
      </c>
      <c r="G641" s="420" t="s">
        <v>681</v>
      </c>
      <c r="H641" s="420" t="s">
        <v>804</v>
      </c>
      <c r="I641" s="420">
        <v>33.700000000000003</v>
      </c>
      <c r="J641" s="419">
        <v>0</v>
      </c>
      <c r="K641" s="419">
        <f>I641+J641</f>
        <v>33.700000000000003</v>
      </c>
      <c r="L641" s="419">
        <v>5.5</v>
      </c>
      <c r="M641" s="134" t="s">
        <v>734</v>
      </c>
      <c r="N641" s="260">
        <v>1</v>
      </c>
      <c r="O641" s="423">
        <v>1</v>
      </c>
      <c r="P641" s="231">
        <v>856000</v>
      </c>
      <c r="Q641" s="231">
        <f>+ROUND((P641*N641*K641),-3)</f>
        <v>28847000</v>
      </c>
      <c r="R641" s="231">
        <f>-ROUND((38000*J641*0.5%),-3)</f>
        <v>0</v>
      </c>
      <c r="S641" s="408">
        <f>+Q641+R641</f>
        <v>28847000</v>
      </c>
      <c r="T641" s="227" t="s">
        <v>833</v>
      </c>
    </row>
    <row r="642" spans="1:20" s="19" customFormat="1" ht="18.75" customHeight="1" x14ac:dyDescent="0.3">
      <c r="A642" s="272" t="s">
        <v>28</v>
      </c>
      <c r="B642" s="273" t="s">
        <v>315</v>
      </c>
      <c r="C642" s="233"/>
      <c r="D642" s="233"/>
      <c r="E642" s="233"/>
      <c r="F642" s="233"/>
      <c r="G642" s="233"/>
      <c r="H642" s="233"/>
      <c r="I642" s="234"/>
      <c r="J642" s="233"/>
      <c r="K642" s="235"/>
      <c r="L642" s="235"/>
      <c r="M642" s="233"/>
      <c r="N642" s="235"/>
      <c r="O642" s="233"/>
      <c r="P642" s="236"/>
      <c r="Q642" s="237"/>
      <c r="R642" s="237"/>
      <c r="S642" s="237"/>
      <c r="T642" s="233"/>
    </row>
    <row r="643" spans="1:20" s="19" customFormat="1" ht="18.75" customHeight="1" x14ac:dyDescent="0.3">
      <c r="A643" s="272" t="s">
        <v>56</v>
      </c>
      <c r="B643" s="273" t="s">
        <v>201</v>
      </c>
      <c r="C643" s="233"/>
      <c r="D643" s="233"/>
      <c r="E643" s="233"/>
      <c r="F643" s="233"/>
      <c r="G643" s="233"/>
      <c r="H643" s="233"/>
      <c r="I643" s="234"/>
      <c r="J643" s="233"/>
      <c r="K643" s="235"/>
      <c r="L643" s="235"/>
      <c r="M643" s="233"/>
      <c r="N643" s="235"/>
      <c r="O643" s="233"/>
      <c r="P643" s="236"/>
      <c r="Q643" s="233"/>
      <c r="R643" s="233"/>
      <c r="S643" s="203">
        <f>S656</f>
        <v>46190000</v>
      </c>
      <c r="T643" s="233"/>
    </row>
    <row r="644" spans="1:20" s="19" customFormat="1" ht="18.75" customHeight="1" x14ac:dyDescent="0.3">
      <c r="A644" s="765"/>
      <c r="B644" s="767" t="s">
        <v>51</v>
      </c>
      <c r="C644" s="767" t="s">
        <v>58</v>
      </c>
      <c r="D644" s="768" t="s">
        <v>59</v>
      </c>
      <c r="E644" s="769" t="s">
        <v>60</v>
      </c>
      <c r="F644" s="769" t="s">
        <v>61</v>
      </c>
      <c r="G644" s="769" t="s">
        <v>62</v>
      </c>
      <c r="H644" s="769" t="s">
        <v>63</v>
      </c>
      <c r="I644" s="770" t="s">
        <v>64</v>
      </c>
      <c r="J644" s="757"/>
      <c r="K644" s="757"/>
      <c r="L644" s="757"/>
      <c r="M644" s="758"/>
      <c r="N644" s="771" t="s">
        <v>3</v>
      </c>
      <c r="O644" s="771" t="s">
        <v>65</v>
      </c>
      <c r="P644" s="771" t="s">
        <v>66</v>
      </c>
      <c r="Q644" s="771" t="s">
        <v>67</v>
      </c>
      <c r="R644" s="767" t="s">
        <v>68</v>
      </c>
      <c r="S644" s="767" t="s">
        <v>69</v>
      </c>
      <c r="T644" s="767" t="s">
        <v>70</v>
      </c>
    </row>
    <row r="645" spans="1:20" s="19" customFormat="1" ht="18.75" customHeight="1" x14ac:dyDescent="0.3">
      <c r="A645" s="766"/>
      <c r="B645" s="766"/>
      <c r="C645" s="766"/>
      <c r="D645" s="766"/>
      <c r="E645" s="766"/>
      <c r="F645" s="766"/>
      <c r="G645" s="766"/>
      <c r="H645" s="766"/>
      <c r="I645" s="168" t="s">
        <v>71</v>
      </c>
      <c r="J645" s="159" t="s">
        <v>72</v>
      </c>
      <c r="K645" s="159" t="s">
        <v>73</v>
      </c>
      <c r="L645" s="45" t="s">
        <v>74</v>
      </c>
      <c r="M645" s="204" t="s">
        <v>75</v>
      </c>
      <c r="N645" s="766"/>
      <c r="O645" s="766"/>
      <c r="P645" s="766"/>
      <c r="Q645" s="766"/>
      <c r="R645" s="766"/>
      <c r="S645" s="766"/>
      <c r="T645" s="766"/>
    </row>
    <row r="646" spans="1:20" s="19" customFormat="1" ht="87" customHeight="1" x14ac:dyDescent="0.3">
      <c r="A646" s="196" t="s">
        <v>5</v>
      </c>
      <c r="B646" s="197" t="s">
        <v>76</v>
      </c>
      <c r="C646" s="197" t="s">
        <v>77</v>
      </c>
      <c r="D646" s="197" t="s">
        <v>78</v>
      </c>
      <c r="E646" s="198" t="s">
        <v>79</v>
      </c>
      <c r="F646" s="198" t="s">
        <v>80</v>
      </c>
      <c r="G646" s="198" t="s">
        <v>81</v>
      </c>
      <c r="H646" s="199" t="s">
        <v>82</v>
      </c>
      <c r="I646" s="200" t="s">
        <v>83</v>
      </c>
      <c r="J646" s="201" t="s">
        <v>84</v>
      </c>
      <c r="K646" s="201" t="s">
        <v>85</v>
      </c>
      <c r="L646" s="197" t="s">
        <v>86</v>
      </c>
      <c r="M646" s="202" t="s">
        <v>87</v>
      </c>
      <c r="N646" s="198" t="s">
        <v>88</v>
      </c>
      <c r="O646" s="198" t="s">
        <v>89</v>
      </c>
      <c r="P646" s="198" t="s">
        <v>90</v>
      </c>
      <c r="Q646" s="198" t="s">
        <v>91</v>
      </c>
      <c r="R646" s="198" t="s">
        <v>92</v>
      </c>
      <c r="S646" s="198" t="s">
        <v>964</v>
      </c>
      <c r="T646" s="198" t="s">
        <v>15</v>
      </c>
    </row>
    <row r="647" spans="1:20" s="19" customFormat="1" ht="37.5" x14ac:dyDescent="0.3">
      <c r="A647" s="634">
        <v>1</v>
      </c>
      <c r="B647" s="635" t="s">
        <v>214</v>
      </c>
      <c r="C647" s="635" t="s">
        <v>891</v>
      </c>
      <c r="D647" s="636" t="s">
        <v>241</v>
      </c>
      <c r="E647" s="636" t="s">
        <v>461</v>
      </c>
      <c r="F647" s="637"/>
      <c r="G647" s="636">
        <v>19</v>
      </c>
      <c r="H647" s="636" t="s">
        <v>95</v>
      </c>
      <c r="I647" s="638">
        <v>5.5</v>
      </c>
      <c r="J647" s="636">
        <v>0</v>
      </c>
      <c r="K647" s="636">
        <v>5.5</v>
      </c>
      <c r="L647" s="636">
        <v>0.99199999999999999</v>
      </c>
      <c r="M647" s="639">
        <v>268000</v>
      </c>
      <c r="N647" s="640">
        <v>0.8</v>
      </c>
      <c r="O647" s="639">
        <v>268000</v>
      </c>
      <c r="P647" s="641">
        <v>1172000</v>
      </c>
      <c r="Q647" s="636" t="s">
        <v>97</v>
      </c>
      <c r="R647" s="636" t="s">
        <v>97</v>
      </c>
      <c r="S647" s="641">
        <v>1172000</v>
      </c>
      <c r="T647" s="636" t="s">
        <v>166</v>
      </c>
    </row>
    <row r="648" spans="1:20" s="19" customFormat="1" ht="81" customHeight="1" x14ac:dyDescent="0.3">
      <c r="A648" s="634">
        <v>2</v>
      </c>
      <c r="B648" s="635" t="s">
        <v>892</v>
      </c>
      <c r="C648" s="635" t="s">
        <v>893</v>
      </c>
      <c r="D648" s="636" t="s">
        <v>217</v>
      </c>
      <c r="E648" s="636" t="s">
        <v>461</v>
      </c>
      <c r="F648" s="637"/>
      <c r="G648" s="636">
        <v>19</v>
      </c>
      <c r="H648" s="636" t="s">
        <v>95</v>
      </c>
      <c r="I648" s="638">
        <v>3.2</v>
      </c>
      <c r="J648" s="636">
        <v>1</v>
      </c>
      <c r="K648" s="636">
        <v>2.2000000000000002</v>
      </c>
      <c r="L648" s="636">
        <v>0.99199999999999999</v>
      </c>
      <c r="M648" s="639">
        <v>268000</v>
      </c>
      <c r="N648" s="640">
        <v>0.2</v>
      </c>
      <c r="O648" s="639">
        <v>268000</v>
      </c>
      <c r="P648" s="641">
        <v>116000</v>
      </c>
      <c r="Q648" s="636" t="s">
        <v>97</v>
      </c>
      <c r="R648" s="636" t="s">
        <v>97</v>
      </c>
      <c r="S648" s="641">
        <v>116000</v>
      </c>
      <c r="T648" s="636" t="s">
        <v>944</v>
      </c>
    </row>
    <row r="649" spans="1:20" s="19" customFormat="1" ht="46.5" customHeight="1" x14ac:dyDescent="0.3">
      <c r="A649" s="634">
        <v>3</v>
      </c>
      <c r="B649" s="642" t="s">
        <v>99</v>
      </c>
      <c r="C649" s="642" t="s">
        <v>462</v>
      </c>
      <c r="D649" s="643" t="s">
        <v>217</v>
      </c>
      <c r="E649" s="644" t="s">
        <v>461</v>
      </c>
      <c r="F649" s="645"/>
      <c r="G649" s="646">
        <f>2023-2004</f>
        <v>19</v>
      </c>
      <c r="H649" s="647" t="s">
        <v>95</v>
      </c>
      <c r="I649" s="648">
        <f>0.3*0.3*2</f>
        <v>0.18</v>
      </c>
      <c r="J649" s="649" t="s">
        <v>96</v>
      </c>
      <c r="K649" s="650">
        <f t="shared" ref="K649:K655" si="68">+I649-J649</f>
        <v>0.18</v>
      </c>
      <c r="L649" s="651">
        <v>0.99199999999999999</v>
      </c>
      <c r="M649" s="652">
        <v>2556000</v>
      </c>
      <c r="N649" s="653">
        <v>0.8</v>
      </c>
      <c r="O649" s="652">
        <f>+M649</f>
        <v>2556000</v>
      </c>
      <c r="P649" s="654">
        <f t="shared" ref="P649:P655" si="69">+ROUND((K649*L649*O649*N649),-3)</f>
        <v>365000</v>
      </c>
      <c r="Q649" s="652" t="s">
        <v>97</v>
      </c>
      <c r="R649" s="652" t="s">
        <v>97</v>
      </c>
      <c r="S649" s="654">
        <f t="shared" ref="S649:S655" si="70">P649</f>
        <v>365000</v>
      </c>
      <c r="T649" s="655" t="s">
        <v>169</v>
      </c>
    </row>
    <row r="650" spans="1:20" s="19" customFormat="1" ht="107.25" customHeight="1" x14ac:dyDescent="0.3">
      <c r="A650" s="634">
        <v>4</v>
      </c>
      <c r="B650" s="512" t="s">
        <v>105</v>
      </c>
      <c r="C650" s="512" t="s">
        <v>463</v>
      </c>
      <c r="D650" s="513" t="s">
        <v>241</v>
      </c>
      <c r="E650" s="514" t="s">
        <v>301</v>
      </c>
      <c r="F650" s="515"/>
      <c r="G650" s="656">
        <f>2023-E650</f>
        <v>6</v>
      </c>
      <c r="H650" s="657" t="s">
        <v>95</v>
      </c>
      <c r="I650" s="518">
        <f>2.9*2</f>
        <v>5.8</v>
      </c>
      <c r="J650" s="519" t="s">
        <v>96</v>
      </c>
      <c r="K650" s="626">
        <f t="shared" si="68"/>
        <v>5.8</v>
      </c>
      <c r="L650" s="520">
        <v>0.99199999999999999</v>
      </c>
      <c r="M650" s="521">
        <v>835000</v>
      </c>
      <c r="N650" s="522">
        <v>0.3</v>
      </c>
      <c r="O650" s="521">
        <f>+M650</f>
        <v>835000</v>
      </c>
      <c r="P650" s="523">
        <f t="shared" si="69"/>
        <v>1441000</v>
      </c>
      <c r="Q650" s="521" t="s">
        <v>97</v>
      </c>
      <c r="R650" s="521" t="s">
        <v>97</v>
      </c>
      <c r="S650" s="523">
        <f t="shared" si="70"/>
        <v>1441000</v>
      </c>
      <c r="T650" s="517" t="s">
        <v>911</v>
      </c>
    </row>
    <row r="651" spans="1:20" s="19" customFormat="1" ht="185.25" customHeight="1" x14ac:dyDescent="0.3">
      <c r="A651" s="634">
        <v>5</v>
      </c>
      <c r="B651" s="512" t="s">
        <v>93</v>
      </c>
      <c r="C651" s="512" t="s">
        <v>1058</v>
      </c>
      <c r="D651" s="513" t="s">
        <v>241</v>
      </c>
      <c r="E651" s="514" t="s">
        <v>461</v>
      </c>
      <c r="F651" s="515"/>
      <c r="G651" s="656">
        <f>2023-2004</f>
        <v>19</v>
      </c>
      <c r="H651" s="657" t="s">
        <v>95</v>
      </c>
      <c r="I651" s="518">
        <f>2.3*5.7</f>
        <v>13.11</v>
      </c>
      <c r="J651" s="519" t="s">
        <v>96</v>
      </c>
      <c r="K651" s="517">
        <f t="shared" si="68"/>
        <v>13.11</v>
      </c>
      <c r="L651" s="520">
        <v>0.99199999999999999</v>
      </c>
      <c r="M651" s="521">
        <v>1323000</v>
      </c>
      <c r="N651" s="522">
        <v>0.8</v>
      </c>
      <c r="O651" s="521">
        <f>+M651*80%*90%</f>
        <v>952560</v>
      </c>
      <c r="P651" s="523">
        <f t="shared" si="69"/>
        <v>9911000</v>
      </c>
      <c r="Q651" s="521" t="s">
        <v>97</v>
      </c>
      <c r="R651" s="521" t="s">
        <v>97</v>
      </c>
      <c r="S651" s="523">
        <f t="shared" si="70"/>
        <v>9911000</v>
      </c>
      <c r="T651" s="517" t="s">
        <v>1059</v>
      </c>
    </row>
    <row r="652" spans="1:20" s="19" customFormat="1" ht="37.5" x14ac:dyDescent="0.3">
      <c r="A652" s="634">
        <v>6</v>
      </c>
      <c r="B652" s="512" t="s">
        <v>464</v>
      </c>
      <c r="C652" s="512" t="s">
        <v>465</v>
      </c>
      <c r="D652" s="513" t="s">
        <v>241</v>
      </c>
      <c r="E652" s="514" t="s">
        <v>461</v>
      </c>
      <c r="F652" s="515"/>
      <c r="G652" s="656">
        <f>2023-2004</f>
        <v>19</v>
      </c>
      <c r="H652" s="657" t="s">
        <v>95</v>
      </c>
      <c r="I652" s="518">
        <f>3.4*5</f>
        <v>17</v>
      </c>
      <c r="J652" s="519" t="s">
        <v>96</v>
      </c>
      <c r="K652" s="626">
        <f t="shared" si="68"/>
        <v>17</v>
      </c>
      <c r="L652" s="520">
        <v>0.99199999999999999</v>
      </c>
      <c r="M652" s="521">
        <v>103000</v>
      </c>
      <c r="N652" s="522">
        <v>0.8</v>
      </c>
      <c r="O652" s="521">
        <f>+M652</f>
        <v>103000</v>
      </c>
      <c r="P652" s="523">
        <f t="shared" si="69"/>
        <v>1390000</v>
      </c>
      <c r="Q652" s="521" t="s">
        <v>97</v>
      </c>
      <c r="R652" s="521" t="s">
        <v>97</v>
      </c>
      <c r="S652" s="523">
        <f t="shared" si="70"/>
        <v>1390000</v>
      </c>
      <c r="T652" s="517" t="s">
        <v>466</v>
      </c>
    </row>
    <row r="653" spans="1:20" s="19" customFormat="1" ht="36.75" customHeight="1" x14ac:dyDescent="0.3">
      <c r="A653" s="634">
        <v>7</v>
      </c>
      <c r="B653" s="512" t="s">
        <v>113</v>
      </c>
      <c r="C653" s="512" t="s">
        <v>467</v>
      </c>
      <c r="D653" s="513" t="s">
        <v>241</v>
      </c>
      <c r="E653" s="514" t="s">
        <v>461</v>
      </c>
      <c r="F653" s="515"/>
      <c r="G653" s="656">
        <f>2023-2004</f>
        <v>19</v>
      </c>
      <c r="H653" s="657" t="s">
        <v>95</v>
      </c>
      <c r="I653" s="518">
        <f>4.7*3.4</f>
        <v>15.98</v>
      </c>
      <c r="J653" s="519" t="s">
        <v>96</v>
      </c>
      <c r="K653" s="626">
        <f t="shared" si="68"/>
        <v>15.98</v>
      </c>
      <c r="L653" s="520">
        <v>0.99199999999999999</v>
      </c>
      <c r="M653" s="521">
        <v>418000</v>
      </c>
      <c r="N653" s="522">
        <v>0.8</v>
      </c>
      <c r="O653" s="521">
        <f>+M653</f>
        <v>418000</v>
      </c>
      <c r="P653" s="523">
        <f t="shared" si="69"/>
        <v>5301000</v>
      </c>
      <c r="Q653" s="521" t="s">
        <v>97</v>
      </c>
      <c r="R653" s="521" t="s">
        <v>97</v>
      </c>
      <c r="S653" s="523">
        <f t="shared" si="70"/>
        <v>5301000</v>
      </c>
      <c r="T653" s="517" t="s">
        <v>211</v>
      </c>
    </row>
    <row r="654" spans="1:20" s="19" customFormat="1" ht="160.5" customHeight="1" x14ac:dyDescent="0.3">
      <c r="A654" s="634">
        <v>8</v>
      </c>
      <c r="B654" s="512" t="s">
        <v>441</v>
      </c>
      <c r="C654" s="512" t="s">
        <v>1060</v>
      </c>
      <c r="D654" s="513" t="s">
        <v>241</v>
      </c>
      <c r="E654" s="514" t="s">
        <v>461</v>
      </c>
      <c r="F654" s="515"/>
      <c r="G654" s="656">
        <f>2023-2004</f>
        <v>19</v>
      </c>
      <c r="H654" s="657" t="s">
        <v>95</v>
      </c>
      <c r="I654" s="518">
        <f>1.6*5</f>
        <v>8</v>
      </c>
      <c r="J654" s="519" t="s">
        <v>96</v>
      </c>
      <c r="K654" s="626">
        <f t="shared" si="68"/>
        <v>8</v>
      </c>
      <c r="L654" s="520">
        <v>0.99199999999999999</v>
      </c>
      <c r="M654" s="521">
        <v>4179000</v>
      </c>
      <c r="N654" s="522">
        <v>0.8</v>
      </c>
      <c r="O654" s="521">
        <f>+M654</f>
        <v>4179000</v>
      </c>
      <c r="P654" s="523">
        <f t="shared" si="69"/>
        <v>26532000</v>
      </c>
      <c r="Q654" s="521" t="s">
        <v>97</v>
      </c>
      <c r="R654" s="521" t="s">
        <v>97</v>
      </c>
      <c r="S654" s="523">
        <f t="shared" si="70"/>
        <v>26532000</v>
      </c>
      <c r="T654" s="517" t="s">
        <v>468</v>
      </c>
    </row>
    <row r="655" spans="1:20" s="19" customFormat="1" ht="78" customHeight="1" x14ac:dyDescent="0.3">
      <c r="A655" s="634" t="s">
        <v>101</v>
      </c>
      <c r="B655" s="512" t="s">
        <v>163</v>
      </c>
      <c r="C655" s="512" t="s">
        <v>444</v>
      </c>
      <c r="D655" s="513" t="s">
        <v>241</v>
      </c>
      <c r="E655" s="514" t="s">
        <v>461</v>
      </c>
      <c r="F655" s="515"/>
      <c r="G655" s="656">
        <f>2023-2004</f>
        <v>19</v>
      </c>
      <c r="H655" s="657" t="s">
        <v>95</v>
      </c>
      <c r="I655" s="518">
        <f>1.6*5</f>
        <v>8</v>
      </c>
      <c r="J655" s="519" t="s">
        <v>96</v>
      </c>
      <c r="K655" s="626">
        <f t="shared" si="68"/>
        <v>8</v>
      </c>
      <c r="L655" s="520">
        <v>0.99199999999999999</v>
      </c>
      <c r="M655" s="658">
        <f>(256000-262000)</f>
        <v>-6000</v>
      </c>
      <c r="N655" s="522">
        <v>0.8</v>
      </c>
      <c r="O655" s="658">
        <f>+M655</f>
        <v>-6000</v>
      </c>
      <c r="P655" s="659">
        <f t="shared" si="69"/>
        <v>-38000</v>
      </c>
      <c r="Q655" s="521" t="s">
        <v>97</v>
      </c>
      <c r="R655" s="521" t="s">
        <v>97</v>
      </c>
      <c r="S655" s="659">
        <f t="shared" si="70"/>
        <v>-38000</v>
      </c>
      <c r="T655" s="517" t="s">
        <v>386</v>
      </c>
    </row>
    <row r="656" spans="1:20" s="19" customFormat="1" ht="30" customHeight="1" x14ac:dyDescent="0.3">
      <c r="A656" s="165"/>
      <c r="B656" s="166" t="s">
        <v>55</v>
      </c>
      <c r="C656" s="166"/>
      <c r="D656" s="159"/>
      <c r="E656" s="159"/>
      <c r="F656" s="167"/>
      <c r="G656" s="167"/>
      <c r="H656" s="167"/>
      <c r="I656" s="168"/>
      <c r="J656" s="167"/>
      <c r="K656" s="167"/>
      <c r="L656" s="167"/>
      <c r="M656" s="167"/>
      <c r="N656" s="167"/>
      <c r="O656" s="167"/>
      <c r="P656" s="167"/>
      <c r="Q656" s="167"/>
      <c r="R656" s="167"/>
      <c r="S656" s="45">
        <f>SUM(S647:S655)</f>
        <v>46190000</v>
      </c>
      <c r="T656" s="167"/>
    </row>
    <row r="657" spans="1:20" s="19" customFormat="1" ht="30" customHeight="1" x14ac:dyDescent="0.3">
      <c r="A657" s="171" t="s">
        <v>131</v>
      </c>
      <c r="B657" s="172" t="s">
        <v>132</v>
      </c>
      <c r="C657" s="173"/>
      <c r="D657" s="466"/>
      <c r="E657" s="466"/>
      <c r="F657" s="466"/>
      <c r="G657" s="466"/>
      <c r="H657" s="466"/>
      <c r="I657" s="467"/>
      <c r="J657" s="466"/>
      <c r="K657" s="468"/>
      <c r="L657" s="468"/>
      <c r="M657" s="466"/>
      <c r="N657" s="468"/>
      <c r="O657" s="466"/>
      <c r="P657" s="469"/>
      <c r="Q657" s="466"/>
      <c r="R657" s="466"/>
      <c r="S657" s="470"/>
      <c r="T657" s="466"/>
    </row>
    <row r="658" spans="1:20" s="19" customFormat="1" ht="30" customHeight="1" x14ac:dyDescent="0.3">
      <c r="A658" s="171" t="s">
        <v>133</v>
      </c>
      <c r="B658" s="172" t="s">
        <v>134</v>
      </c>
      <c r="C658" s="174"/>
      <c r="D658" s="174"/>
      <c r="E658" s="174"/>
      <c r="F658" s="174"/>
      <c r="G658" s="174"/>
      <c r="H658" s="174"/>
      <c r="I658" s="175"/>
      <c r="J658" s="174"/>
      <c r="K658" s="176"/>
      <c r="L658" s="176"/>
      <c r="M658" s="174"/>
      <c r="N658" s="176"/>
      <c r="O658" s="174"/>
      <c r="P658" s="177"/>
      <c r="Q658" s="174"/>
      <c r="R658" s="174"/>
      <c r="S658" s="174"/>
      <c r="T658" s="174"/>
    </row>
    <row r="659" spans="1:20" s="19" customFormat="1" ht="30" customHeight="1" x14ac:dyDescent="0.3">
      <c r="A659" s="178" t="s">
        <v>135</v>
      </c>
      <c r="B659" s="756" t="s">
        <v>469</v>
      </c>
      <c r="C659" s="757"/>
      <c r="D659" s="757"/>
      <c r="E659" s="757"/>
      <c r="F659" s="757"/>
      <c r="G659" s="757"/>
      <c r="H659" s="757"/>
      <c r="I659" s="757"/>
      <c r="J659" s="757"/>
      <c r="K659" s="757"/>
      <c r="L659" s="757"/>
      <c r="M659" s="757"/>
      <c r="N659" s="757"/>
      <c r="O659" s="757"/>
      <c r="P659" s="757"/>
      <c r="Q659" s="757"/>
      <c r="R659" s="758"/>
      <c r="S659" s="29">
        <f>+S656</f>
        <v>46190000</v>
      </c>
      <c r="T659" s="174" t="s">
        <v>137</v>
      </c>
    </row>
    <row r="660" spans="1:20" ht="31.5" customHeight="1" x14ac:dyDescent="0.3">
      <c r="A660" s="474"/>
      <c r="B660" s="829" t="s">
        <v>470</v>
      </c>
      <c r="C660" s="773"/>
      <c r="D660" s="773"/>
      <c r="E660" s="773"/>
      <c r="F660" s="773"/>
      <c r="G660" s="773"/>
      <c r="H660" s="773"/>
      <c r="I660" s="773"/>
      <c r="J660" s="773"/>
      <c r="K660" s="773"/>
      <c r="L660" s="773"/>
      <c r="M660" s="773"/>
      <c r="N660" s="773"/>
      <c r="O660" s="773"/>
      <c r="P660" s="773"/>
      <c r="Q660" s="773"/>
      <c r="R660" s="773"/>
      <c r="S660" s="773"/>
      <c r="T660" s="474"/>
    </row>
    <row r="661" spans="1:20" ht="18.75" customHeight="1" x14ac:dyDescent="0.3">
      <c r="A661" s="474"/>
      <c r="B661" s="772" t="s">
        <v>1</v>
      </c>
      <c r="C661" s="773"/>
      <c r="D661" s="773"/>
      <c r="E661" s="773"/>
      <c r="F661" s="773"/>
      <c r="G661" s="773"/>
      <c r="H661" s="773"/>
      <c r="I661" s="773"/>
      <c r="J661" s="773"/>
      <c r="K661" s="773"/>
      <c r="L661" s="773"/>
      <c r="M661" s="773"/>
      <c r="N661" s="773"/>
      <c r="O661" s="773"/>
      <c r="P661" s="773"/>
      <c r="Q661" s="773"/>
      <c r="R661" s="773"/>
      <c r="S661" s="773"/>
      <c r="T661" s="474"/>
    </row>
    <row r="662" spans="1:20" ht="18.75" customHeight="1" x14ac:dyDescent="0.3">
      <c r="A662" s="474"/>
      <c r="B662" s="772" t="s">
        <v>2</v>
      </c>
      <c r="C662" s="773"/>
      <c r="D662" s="773"/>
      <c r="E662" s="773"/>
      <c r="F662" s="773"/>
      <c r="G662" s="773"/>
      <c r="H662" s="773"/>
      <c r="I662" s="773"/>
      <c r="J662" s="773"/>
      <c r="K662" s="773"/>
      <c r="L662" s="773"/>
      <c r="M662" s="773"/>
      <c r="N662" s="773"/>
      <c r="O662" s="773"/>
      <c r="P662" s="773"/>
      <c r="Q662" s="773"/>
      <c r="R662" s="773"/>
      <c r="S662" s="773"/>
      <c r="T662" s="474"/>
    </row>
    <row r="663" spans="1:20" ht="26.25" customHeight="1" x14ac:dyDescent="0.3">
      <c r="A663" s="475"/>
      <c r="B663" s="809" t="str">
        <f>B608</f>
        <v>(Kèm theo Quyết định số     /QĐ-UBND ngày     tháng     năm 2026 của Ủy ban nhân dân xã Thuận An)</v>
      </c>
      <c r="C663" s="773"/>
      <c r="D663" s="773"/>
      <c r="E663" s="773"/>
      <c r="F663" s="773"/>
      <c r="G663" s="773"/>
      <c r="H663" s="773"/>
      <c r="I663" s="773"/>
      <c r="J663" s="773"/>
      <c r="K663" s="773"/>
      <c r="L663" s="773"/>
      <c r="M663" s="773"/>
      <c r="N663" s="773"/>
      <c r="O663" s="773"/>
      <c r="P663" s="773"/>
      <c r="Q663" s="773"/>
      <c r="R663" s="773"/>
      <c r="S663" s="773"/>
      <c r="T663" s="475"/>
    </row>
    <row r="664" spans="1:20" s="19" customFormat="1" ht="36" customHeight="1" thickBot="1" x14ac:dyDescent="0.35">
      <c r="A664" s="272" t="s">
        <v>3</v>
      </c>
      <c r="B664" s="273" t="s">
        <v>4</v>
      </c>
      <c r="C664" s="233"/>
      <c r="D664" s="233"/>
      <c r="E664" s="233"/>
      <c r="F664" s="233"/>
      <c r="G664" s="233"/>
      <c r="H664" s="233"/>
      <c r="I664" s="234"/>
      <c r="J664" s="233"/>
      <c r="K664" s="235"/>
      <c r="L664" s="235"/>
      <c r="M664" s="233"/>
      <c r="N664" s="235"/>
      <c r="O664" s="233"/>
      <c r="P664" s="236"/>
      <c r="Q664" s="233"/>
      <c r="R664" s="233"/>
      <c r="S664" s="237"/>
      <c r="T664" s="233"/>
    </row>
    <row r="665" spans="1:20" s="19" customFormat="1" ht="44.25" customHeight="1" x14ac:dyDescent="0.3">
      <c r="A665" s="810" t="s">
        <v>5</v>
      </c>
      <c r="B665" s="814" t="s">
        <v>6</v>
      </c>
      <c r="C665" s="778" t="s">
        <v>7</v>
      </c>
      <c r="D665" s="778" t="s">
        <v>959</v>
      </c>
      <c r="E665" s="777"/>
      <c r="F665" s="777"/>
      <c r="G665" s="778" t="s">
        <v>960</v>
      </c>
      <c r="H665" s="777"/>
      <c r="I665" s="777"/>
      <c r="J665" s="778" t="s">
        <v>961</v>
      </c>
      <c r="K665" s="777"/>
      <c r="L665" s="777"/>
      <c r="M665" s="779" t="s">
        <v>8</v>
      </c>
      <c r="N665" s="779" t="s">
        <v>9</v>
      </c>
      <c r="O665" s="779" t="s">
        <v>10</v>
      </c>
      <c r="P665" s="780" t="s">
        <v>11</v>
      </c>
      <c r="Q665" s="780" t="s">
        <v>12</v>
      </c>
      <c r="R665" s="850" t="s">
        <v>13</v>
      </c>
      <c r="S665" s="812" t="s">
        <v>14</v>
      </c>
      <c r="T665" s="825" t="s">
        <v>15</v>
      </c>
    </row>
    <row r="666" spans="1:20" s="19" customFormat="1" ht="30.75" customHeight="1" x14ac:dyDescent="0.3">
      <c r="A666" s="811"/>
      <c r="B666" s="815"/>
      <c r="C666" s="777"/>
      <c r="D666" s="778" t="s">
        <v>16</v>
      </c>
      <c r="E666" s="778" t="s">
        <v>17</v>
      </c>
      <c r="F666" s="777"/>
      <c r="G666" s="778" t="s">
        <v>16</v>
      </c>
      <c r="H666" s="778" t="s">
        <v>17</v>
      </c>
      <c r="I666" s="777"/>
      <c r="J666" s="776" t="s">
        <v>18</v>
      </c>
      <c r="K666" s="778" t="s">
        <v>17</v>
      </c>
      <c r="L666" s="777"/>
      <c r="M666" s="777"/>
      <c r="N666" s="777"/>
      <c r="O666" s="777"/>
      <c r="P666" s="777"/>
      <c r="Q666" s="777"/>
      <c r="R666" s="821"/>
      <c r="S666" s="813"/>
      <c r="T666" s="826"/>
    </row>
    <row r="667" spans="1:20" s="19" customFormat="1" ht="58.5" customHeight="1" x14ac:dyDescent="0.3">
      <c r="A667" s="801"/>
      <c r="B667" s="816"/>
      <c r="C667" s="777"/>
      <c r="D667" s="777"/>
      <c r="E667" s="415" t="s">
        <v>962</v>
      </c>
      <c r="F667" s="415" t="s">
        <v>963</v>
      </c>
      <c r="G667" s="777"/>
      <c r="H667" s="415" t="s">
        <v>962</v>
      </c>
      <c r="I667" s="189" t="s">
        <v>963</v>
      </c>
      <c r="J667" s="777"/>
      <c r="K667" s="415" t="s">
        <v>962</v>
      </c>
      <c r="L667" s="415" t="s">
        <v>963</v>
      </c>
      <c r="M667" s="777"/>
      <c r="N667" s="777"/>
      <c r="O667" s="777"/>
      <c r="P667" s="777"/>
      <c r="Q667" s="777"/>
      <c r="R667" s="822"/>
      <c r="S667" s="766"/>
      <c r="T667" s="808"/>
    </row>
    <row r="668" spans="1:20" s="19" customFormat="1" ht="117.75" customHeight="1" x14ac:dyDescent="0.3">
      <c r="A668" s="179" t="s">
        <v>471</v>
      </c>
      <c r="B668" s="346" t="s">
        <v>472</v>
      </c>
      <c r="C668" s="424" t="s">
        <v>473</v>
      </c>
      <c r="D668" s="191">
        <f>E668+F668</f>
        <v>334.8</v>
      </c>
      <c r="E668" s="191">
        <v>140</v>
      </c>
      <c r="F668" s="191">
        <v>194.8</v>
      </c>
      <c r="G668" s="191">
        <f>+H668+I668</f>
        <v>334.8</v>
      </c>
      <c r="H668" s="191">
        <v>140</v>
      </c>
      <c r="I668" s="192">
        <v>194.8</v>
      </c>
      <c r="J668" s="191">
        <v>90.4</v>
      </c>
      <c r="K668" s="191">
        <v>0</v>
      </c>
      <c r="L668" s="191">
        <f>J668</f>
        <v>90.4</v>
      </c>
      <c r="M668" s="193">
        <v>0</v>
      </c>
      <c r="N668" s="193">
        <f>L668/F668</f>
        <v>0.46406570841889117</v>
      </c>
      <c r="O668" s="194" t="s">
        <v>21</v>
      </c>
      <c r="P668" s="195" t="s">
        <v>436</v>
      </c>
      <c r="Q668" s="195" t="s">
        <v>23</v>
      </c>
      <c r="R668" s="350" t="s">
        <v>24</v>
      </c>
      <c r="S668" s="138" t="s">
        <v>25</v>
      </c>
      <c r="T668" s="184" t="s">
        <v>474</v>
      </c>
    </row>
    <row r="669" spans="1:20" s="19" customFormat="1" ht="18.75" customHeight="1" x14ac:dyDescent="0.3">
      <c r="A669" s="272" t="s">
        <v>27</v>
      </c>
      <c r="B669" s="273" t="s">
        <v>777</v>
      </c>
      <c r="C669" s="301"/>
      <c r="D669" s="301"/>
      <c r="E669" s="301"/>
      <c r="F669" s="301"/>
      <c r="G669" s="301"/>
      <c r="H669" s="301"/>
      <c r="I669" s="302"/>
      <c r="J669" s="301"/>
      <c r="K669" s="303"/>
      <c r="L669" s="303"/>
      <c r="M669" s="301"/>
      <c r="N669" s="303"/>
      <c r="O669" s="301"/>
      <c r="P669" s="304"/>
      <c r="Q669" s="301"/>
      <c r="R669" s="233"/>
      <c r="S669" s="237"/>
      <c r="T669" s="233"/>
    </row>
    <row r="670" spans="1:20" s="19" customFormat="1" ht="60" customHeight="1" x14ac:dyDescent="0.3">
      <c r="A670" s="781" t="s">
        <v>5</v>
      </c>
      <c r="B670" s="788" t="s">
        <v>663</v>
      </c>
      <c r="C670" s="761" t="s">
        <v>664</v>
      </c>
      <c r="D670" s="761" t="s">
        <v>665</v>
      </c>
      <c r="E670" s="761"/>
      <c r="F670" s="761"/>
      <c r="G670" s="761"/>
      <c r="H670" s="761" t="s">
        <v>666</v>
      </c>
      <c r="I670" s="760" t="s">
        <v>667</v>
      </c>
      <c r="J670" s="760"/>
      <c r="K670" s="760"/>
      <c r="L670" s="762" t="s">
        <v>668</v>
      </c>
      <c r="M670" s="762"/>
      <c r="N670" s="761" t="s">
        <v>43</v>
      </c>
      <c r="O670" s="761" t="s">
        <v>669</v>
      </c>
      <c r="P670" s="763" t="s">
        <v>670</v>
      </c>
      <c r="Q670" s="763" t="s">
        <v>42</v>
      </c>
      <c r="R670" s="794" t="s">
        <v>671</v>
      </c>
      <c r="S670" s="783" t="s">
        <v>44</v>
      </c>
      <c r="T670" s="798" t="s">
        <v>15</v>
      </c>
    </row>
    <row r="671" spans="1:20" s="19" customFormat="1" ht="98.25" customHeight="1" x14ac:dyDescent="0.3">
      <c r="A671" s="782"/>
      <c r="B671" s="789"/>
      <c r="C671" s="761"/>
      <c r="D671" s="407" t="s">
        <v>672</v>
      </c>
      <c r="E671" s="407" t="s">
        <v>673</v>
      </c>
      <c r="F671" s="407" t="s">
        <v>759</v>
      </c>
      <c r="G671" s="407" t="s">
        <v>17</v>
      </c>
      <c r="H671" s="761"/>
      <c r="I671" s="420" t="s">
        <v>674</v>
      </c>
      <c r="J671" s="418" t="s">
        <v>675</v>
      </c>
      <c r="K671" s="419" t="s">
        <v>676</v>
      </c>
      <c r="L671" s="419" t="s">
        <v>677</v>
      </c>
      <c r="M671" s="134" t="s">
        <v>678</v>
      </c>
      <c r="N671" s="761"/>
      <c r="O671" s="761"/>
      <c r="P671" s="763"/>
      <c r="Q671" s="763"/>
      <c r="R671" s="795"/>
      <c r="S671" s="784"/>
      <c r="T671" s="799"/>
    </row>
    <row r="672" spans="1:20" s="19" customFormat="1" ht="108.75" customHeight="1" x14ac:dyDescent="0.3">
      <c r="A672" s="226" t="s">
        <v>19</v>
      </c>
      <c r="B672" s="347" t="s">
        <v>679</v>
      </c>
      <c r="C672" s="228" t="s">
        <v>805</v>
      </c>
      <c r="D672" s="418" t="s">
        <v>119</v>
      </c>
      <c r="E672" s="418" t="s">
        <v>680</v>
      </c>
      <c r="F672" s="419">
        <v>90.4</v>
      </c>
      <c r="G672" s="420" t="s">
        <v>681</v>
      </c>
      <c r="H672" s="420" t="s">
        <v>806</v>
      </c>
      <c r="I672" s="420">
        <v>74.5</v>
      </c>
      <c r="J672" s="419">
        <v>0</v>
      </c>
      <c r="K672" s="419">
        <f>I672+J672</f>
        <v>74.5</v>
      </c>
      <c r="L672" s="419">
        <v>15.9</v>
      </c>
      <c r="M672" s="134" t="s">
        <v>734</v>
      </c>
      <c r="N672" s="260">
        <v>1</v>
      </c>
      <c r="O672" s="423">
        <v>1</v>
      </c>
      <c r="P672" s="231">
        <v>1027000</v>
      </c>
      <c r="Q672" s="231">
        <f>+ROUND((P672*N672*K672),-3)</f>
        <v>76512000</v>
      </c>
      <c r="R672" s="354">
        <f>-ROUND((38000*J672*0.5%),-3)</f>
        <v>0</v>
      </c>
      <c r="S672" s="408">
        <f>+Q672+R672</f>
        <v>76512000</v>
      </c>
      <c r="T672" s="227" t="s">
        <v>833</v>
      </c>
    </row>
    <row r="673" spans="1:20" s="19" customFormat="1" ht="18.75" customHeight="1" x14ac:dyDescent="0.3">
      <c r="A673" s="272" t="s">
        <v>28</v>
      </c>
      <c r="B673" s="273" t="s">
        <v>141</v>
      </c>
      <c r="C673" s="233"/>
      <c r="D673" s="233"/>
      <c r="E673" s="233"/>
      <c r="F673" s="233"/>
      <c r="G673" s="233"/>
      <c r="H673" s="233"/>
      <c r="I673" s="234"/>
      <c r="J673" s="233"/>
      <c r="K673" s="235"/>
      <c r="L673" s="235"/>
      <c r="M673" s="233"/>
      <c r="N673" s="235"/>
      <c r="O673" s="233"/>
      <c r="P673" s="236"/>
      <c r="Q673" s="237"/>
      <c r="R673" s="237"/>
      <c r="S673" s="238">
        <f>S685</f>
        <v>6752000</v>
      </c>
      <c r="T673" s="233"/>
    </row>
    <row r="674" spans="1:20" s="19" customFormat="1" ht="32.25" customHeight="1" x14ac:dyDescent="0.3">
      <c r="A674" s="800" t="s">
        <v>5</v>
      </c>
      <c r="B674" s="802" t="s">
        <v>30</v>
      </c>
      <c r="C674" s="802" t="s">
        <v>31</v>
      </c>
      <c r="D674" s="802" t="s">
        <v>32</v>
      </c>
      <c r="E674" s="803" t="s">
        <v>33</v>
      </c>
      <c r="F674" s="758"/>
      <c r="G674" s="802" t="s">
        <v>34</v>
      </c>
      <c r="H674" s="802" t="s">
        <v>35</v>
      </c>
      <c r="I674" s="804" t="s">
        <v>36</v>
      </c>
      <c r="J674" s="758"/>
      <c r="K674" s="769" t="s">
        <v>37</v>
      </c>
      <c r="L674" s="769" t="s">
        <v>38</v>
      </c>
      <c r="M674" s="805" t="s">
        <v>39</v>
      </c>
      <c r="N674" s="802" t="s">
        <v>839</v>
      </c>
      <c r="O674" s="802" t="s">
        <v>967</v>
      </c>
      <c r="P674" s="806" t="s">
        <v>41</v>
      </c>
      <c r="Q674" s="806" t="s">
        <v>42</v>
      </c>
      <c r="R674" s="802" t="s">
        <v>43</v>
      </c>
      <c r="S674" s="802" t="s">
        <v>44</v>
      </c>
      <c r="T674" s="807" t="s">
        <v>15</v>
      </c>
    </row>
    <row r="675" spans="1:20" s="19" customFormat="1" ht="63" customHeight="1" x14ac:dyDescent="0.3">
      <c r="A675" s="801"/>
      <c r="B675" s="766"/>
      <c r="C675" s="766"/>
      <c r="D675" s="766"/>
      <c r="E675" s="167" t="s">
        <v>45</v>
      </c>
      <c r="F675" s="167" t="s">
        <v>46</v>
      </c>
      <c r="G675" s="766"/>
      <c r="H675" s="766"/>
      <c r="I675" s="140" t="s">
        <v>47</v>
      </c>
      <c r="J675" s="143" t="s">
        <v>48</v>
      </c>
      <c r="K675" s="766"/>
      <c r="L675" s="766"/>
      <c r="M675" s="766"/>
      <c r="N675" s="766"/>
      <c r="O675" s="766"/>
      <c r="P675" s="766"/>
      <c r="Q675" s="766"/>
      <c r="R675" s="766"/>
      <c r="S675" s="766"/>
      <c r="T675" s="808"/>
    </row>
    <row r="676" spans="1:20" s="19" customFormat="1" ht="18.75" x14ac:dyDescent="0.3">
      <c r="A676" s="147"/>
      <c r="B676" s="146" t="s">
        <v>835</v>
      </c>
      <c r="C676" s="148"/>
      <c r="D676" s="147"/>
      <c r="E676" s="147"/>
      <c r="F676" s="147"/>
      <c r="G676" s="149"/>
      <c r="H676" s="149"/>
      <c r="I676" s="150"/>
      <c r="J676" s="149"/>
      <c r="K676" s="147"/>
      <c r="L676" s="151"/>
      <c r="M676" s="152"/>
      <c r="N676" s="152"/>
      <c r="O676" s="152">
        <f>SUM(O677:O681)</f>
        <v>73.188034188034194</v>
      </c>
      <c r="P676" s="151"/>
      <c r="Q676" s="154"/>
      <c r="R676" s="154"/>
      <c r="S676" s="154">
        <f>SUM(S677:S681)</f>
        <v>6529000</v>
      </c>
      <c r="T676" s="147"/>
    </row>
    <row r="677" spans="1:20" s="19" customFormat="1" ht="84" customHeight="1" x14ac:dyDescent="0.3">
      <c r="A677" s="136" t="s">
        <v>19</v>
      </c>
      <c r="B677" s="137" t="s">
        <v>144</v>
      </c>
      <c r="C677" s="138" t="s">
        <v>475</v>
      </c>
      <c r="D677" s="52"/>
      <c r="E677" s="138" t="s">
        <v>27</v>
      </c>
      <c r="F677" s="139" t="s">
        <v>52</v>
      </c>
      <c r="G677" s="138" t="s">
        <v>146</v>
      </c>
      <c r="H677" s="138" t="s">
        <v>21</v>
      </c>
      <c r="I677" s="140" t="s">
        <v>200</v>
      </c>
      <c r="J677" s="141"/>
      <c r="K677" s="142">
        <v>1</v>
      </c>
      <c r="L677" s="142">
        <f t="shared" ref="L677:L681" si="71">K677</f>
        <v>1</v>
      </c>
      <c r="M677" s="52" t="s">
        <v>54</v>
      </c>
      <c r="N677" s="143">
        <f>10000/1500</f>
        <v>6.666666666666667</v>
      </c>
      <c r="O677" s="143">
        <f>N677*L677</f>
        <v>6.666666666666667</v>
      </c>
      <c r="P677" s="144">
        <v>452000</v>
      </c>
      <c r="Q677" s="144">
        <f t="shared" ref="Q677:Q681" si="72">+ROUND((L677*P677),-3)</f>
        <v>452000</v>
      </c>
      <c r="R677" s="145">
        <v>1</v>
      </c>
      <c r="S677" s="144">
        <f t="shared" ref="S677:S681" si="73">+ROUND((Q677*R677),-3)</f>
        <v>452000</v>
      </c>
      <c r="T677" s="52" t="s">
        <v>333</v>
      </c>
    </row>
    <row r="678" spans="1:20" s="19" customFormat="1" ht="84" customHeight="1" x14ac:dyDescent="0.3">
      <c r="A678" s="136" t="s">
        <v>98</v>
      </c>
      <c r="B678" s="137" t="s">
        <v>476</v>
      </c>
      <c r="C678" s="138" t="s">
        <v>477</v>
      </c>
      <c r="D678" s="52"/>
      <c r="E678" s="138" t="s">
        <v>27</v>
      </c>
      <c r="F678" s="139" t="s">
        <v>150</v>
      </c>
      <c r="G678" s="138" t="s">
        <v>146</v>
      </c>
      <c r="H678" s="138" t="s">
        <v>21</v>
      </c>
      <c r="I678" s="140" t="s">
        <v>200</v>
      </c>
      <c r="J678" s="141"/>
      <c r="K678" s="142">
        <v>2</v>
      </c>
      <c r="L678" s="142">
        <f t="shared" si="71"/>
        <v>2</v>
      </c>
      <c r="M678" s="52" t="s">
        <v>54</v>
      </c>
      <c r="N678" s="143">
        <f t="shared" ref="N678" si="74">10000/1500</f>
        <v>6.666666666666667</v>
      </c>
      <c r="O678" s="143">
        <f t="shared" ref="O678:O684" si="75">N678*L678</f>
        <v>13.333333333333334</v>
      </c>
      <c r="P678" s="144">
        <v>370000</v>
      </c>
      <c r="Q678" s="144">
        <f t="shared" si="72"/>
        <v>740000</v>
      </c>
      <c r="R678" s="145">
        <v>1</v>
      </c>
      <c r="S678" s="144">
        <f t="shared" si="73"/>
        <v>740000</v>
      </c>
      <c r="T678" s="52" t="s">
        <v>333</v>
      </c>
    </row>
    <row r="679" spans="1:20" s="19" customFormat="1" ht="84" customHeight="1" x14ac:dyDescent="0.3">
      <c r="A679" s="136" t="s">
        <v>104</v>
      </c>
      <c r="B679" s="137" t="s">
        <v>479</v>
      </c>
      <c r="C679" s="138" t="s">
        <v>50</v>
      </c>
      <c r="D679" s="52" t="s">
        <v>58</v>
      </c>
      <c r="E679" s="138" t="s">
        <v>27</v>
      </c>
      <c r="F679" s="139" t="s">
        <v>52</v>
      </c>
      <c r="G679" s="138" t="s">
        <v>146</v>
      </c>
      <c r="H679" s="138" t="s">
        <v>21</v>
      </c>
      <c r="I679" s="140" t="s">
        <v>200</v>
      </c>
      <c r="J679" s="141">
        <f>2026-I679-3</f>
        <v>8</v>
      </c>
      <c r="K679" s="142">
        <v>1</v>
      </c>
      <c r="L679" s="142">
        <f t="shared" si="71"/>
        <v>1</v>
      </c>
      <c r="M679" s="52" t="s">
        <v>54</v>
      </c>
      <c r="N679" s="143">
        <f>10000/208</f>
        <v>48.07692307692308</v>
      </c>
      <c r="O679" s="143">
        <f t="shared" si="75"/>
        <v>48.07692307692308</v>
      </c>
      <c r="P679" s="144">
        <v>3083600</v>
      </c>
      <c r="Q679" s="144">
        <f t="shared" si="72"/>
        <v>3084000</v>
      </c>
      <c r="R679" s="145">
        <v>1</v>
      </c>
      <c r="S679" s="144">
        <f t="shared" si="73"/>
        <v>3084000</v>
      </c>
      <c r="T679" s="52" t="s">
        <v>333</v>
      </c>
    </row>
    <row r="680" spans="1:20" s="19" customFormat="1" ht="58.5" customHeight="1" x14ac:dyDescent="0.3">
      <c r="A680" s="136" t="s">
        <v>107</v>
      </c>
      <c r="B680" s="137" t="s">
        <v>260</v>
      </c>
      <c r="C680" s="138" t="s">
        <v>480</v>
      </c>
      <c r="D680" s="52"/>
      <c r="E680" s="138" t="s">
        <v>27</v>
      </c>
      <c r="F680" s="139" t="s">
        <v>150</v>
      </c>
      <c r="G680" s="138" t="s">
        <v>146</v>
      </c>
      <c r="H680" s="138" t="s">
        <v>21</v>
      </c>
      <c r="I680" s="140" t="s">
        <v>200</v>
      </c>
      <c r="J680" s="141">
        <f>2026-I680</f>
        <v>11</v>
      </c>
      <c r="K680" s="142">
        <v>10</v>
      </c>
      <c r="L680" s="142">
        <f t="shared" si="71"/>
        <v>10</v>
      </c>
      <c r="M680" s="52" t="s">
        <v>54</v>
      </c>
      <c r="N680" s="143">
        <f>10000/25000</f>
        <v>0.4</v>
      </c>
      <c r="O680" s="143">
        <f t="shared" si="75"/>
        <v>4</v>
      </c>
      <c r="P680" s="144">
        <v>80000</v>
      </c>
      <c r="Q680" s="144">
        <f t="shared" si="72"/>
        <v>800000</v>
      </c>
      <c r="R680" s="145">
        <v>1</v>
      </c>
      <c r="S680" s="144">
        <f t="shared" si="73"/>
        <v>800000</v>
      </c>
      <c r="T680" s="52" t="s">
        <v>394</v>
      </c>
    </row>
    <row r="681" spans="1:20" s="19" customFormat="1" ht="71.25" customHeight="1" x14ac:dyDescent="0.3">
      <c r="A681" s="136" t="s">
        <v>110</v>
      </c>
      <c r="B681" s="137" t="s">
        <v>481</v>
      </c>
      <c r="C681" s="138" t="s">
        <v>50</v>
      </c>
      <c r="D681" s="52" t="s">
        <v>51</v>
      </c>
      <c r="E681" s="138" t="s">
        <v>27</v>
      </c>
      <c r="F681" s="139" t="s">
        <v>152</v>
      </c>
      <c r="G681" s="138" t="s">
        <v>146</v>
      </c>
      <c r="H681" s="138" t="s">
        <v>21</v>
      </c>
      <c r="I681" s="140" t="s">
        <v>256</v>
      </c>
      <c r="J681" s="141">
        <f>2026-I681-3</f>
        <v>5</v>
      </c>
      <c r="K681" s="142">
        <v>2</v>
      </c>
      <c r="L681" s="142">
        <f t="shared" si="71"/>
        <v>2</v>
      </c>
      <c r="M681" s="52" t="s">
        <v>54</v>
      </c>
      <c r="N681" s="143">
        <f>10000/18000</f>
        <v>0.55555555555555558</v>
      </c>
      <c r="O681" s="143">
        <f t="shared" si="75"/>
        <v>1.1111111111111112</v>
      </c>
      <c r="P681" s="144">
        <v>726720</v>
      </c>
      <c r="Q681" s="144">
        <f t="shared" si="72"/>
        <v>1453000</v>
      </c>
      <c r="R681" s="145">
        <v>1</v>
      </c>
      <c r="S681" s="144">
        <f t="shared" si="73"/>
        <v>1453000</v>
      </c>
      <c r="T681" s="52" t="s">
        <v>1043</v>
      </c>
    </row>
    <row r="682" spans="1:20" s="19" customFormat="1" ht="40.5" customHeight="1" x14ac:dyDescent="0.3">
      <c r="A682" s="147" t="s">
        <v>836</v>
      </c>
      <c r="B682" s="287" t="s">
        <v>837</v>
      </c>
      <c r="C682" s="288"/>
      <c r="D682" s="289"/>
      <c r="E682" s="289"/>
      <c r="F682" s="289"/>
      <c r="G682" s="290"/>
      <c r="H682" s="290"/>
      <c r="I682" s="291"/>
      <c r="J682" s="290"/>
      <c r="K682" s="292"/>
      <c r="L682" s="293"/>
      <c r="M682" s="293"/>
      <c r="N682" s="293"/>
      <c r="O682" s="143"/>
      <c r="P682" s="293"/>
      <c r="Q682" s="295"/>
      <c r="R682" s="295"/>
      <c r="S682" s="154">
        <f>S683</f>
        <v>223000</v>
      </c>
      <c r="T682" s="289"/>
    </row>
    <row r="683" spans="1:20" s="19" customFormat="1" ht="18.75" x14ac:dyDescent="0.3">
      <c r="A683" s="289"/>
      <c r="B683" s="146" t="s">
        <v>838</v>
      </c>
      <c r="C683" s="296"/>
      <c r="D683" s="289"/>
      <c r="E683" s="289"/>
      <c r="F683" s="289"/>
      <c r="G683" s="290"/>
      <c r="H683" s="290"/>
      <c r="I683" s="291"/>
      <c r="J683" s="290"/>
      <c r="K683" s="292"/>
      <c r="L683" s="293"/>
      <c r="M683" s="293"/>
      <c r="N683" s="293"/>
      <c r="O683" s="143"/>
      <c r="P683" s="293"/>
      <c r="Q683" s="295"/>
      <c r="R683" s="295"/>
      <c r="S683" s="154">
        <f>SUM(S684)</f>
        <v>223000</v>
      </c>
      <c r="T683" s="289"/>
    </row>
    <row r="684" spans="1:20" s="19" customFormat="1" ht="84" customHeight="1" x14ac:dyDescent="0.3">
      <c r="A684" s="136" t="s">
        <v>112</v>
      </c>
      <c r="B684" s="137" t="s">
        <v>478</v>
      </c>
      <c r="C684" s="138" t="s">
        <v>381</v>
      </c>
      <c r="D684" s="52" t="s">
        <v>59</v>
      </c>
      <c r="E684" s="138" t="s">
        <v>27</v>
      </c>
      <c r="F684" s="139" t="s">
        <v>152</v>
      </c>
      <c r="G684" s="138" t="s">
        <v>146</v>
      </c>
      <c r="H684" s="138" t="s">
        <v>21</v>
      </c>
      <c r="I684" s="140" t="s">
        <v>147</v>
      </c>
      <c r="J684" s="141">
        <f>2026-I684-3</f>
        <v>23</v>
      </c>
      <c r="K684" s="142">
        <v>1</v>
      </c>
      <c r="L684" s="142">
        <f>K684</f>
        <v>1</v>
      </c>
      <c r="M684" s="52" t="s">
        <v>54</v>
      </c>
      <c r="N684" s="143">
        <f>10000/625</f>
        <v>16</v>
      </c>
      <c r="O684" s="143">
        <f t="shared" si="75"/>
        <v>16</v>
      </c>
      <c r="P684" s="144">
        <v>222720</v>
      </c>
      <c r="Q684" s="144">
        <f>+ROUND((L684*P684),-3)</f>
        <v>223000</v>
      </c>
      <c r="R684" s="145">
        <v>1</v>
      </c>
      <c r="S684" s="144">
        <f>+ROUND((Q684*R684),-3)</f>
        <v>223000</v>
      </c>
      <c r="T684" s="52" t="s">
        <v>394</v>
      </c>
    </row>
    <row r="685" spans="1:20" s="19" customFormat="1" ht="19.5" customHeight="1" x14ac:dyDescent="0.3">
      <c r="A685" s="239"/>
      <c r="B685" s="166" t="s">
        <v>55</v>
      </c>
      <c r="C685" s="166"/>
      <c r="D685" s="240"/>
      <c r="E685" s="159"/>
      <c r="F685" s="167"/>
      <c r="G685" s="167"/>
      <c r="H685" s="167"/>
      <c r="I685" s="168"/>
      <c r="J685" s="167"/>
      <c r="K685" s="167"/>
      <c r="L685" s="167"/>
      <c r="M685" s="167"/>
      <c r="N685" s="167"/>
      <c r="O685" s="167"/>
      <c r="P685" s="167"/>
      <c r="Q685" s="167"/>
      <c r="R685" s="167"/>
      <c r="S685" s="45">
        <f>S682+S676</f>
        <v>6752000</v>
      </c>
      <c r="T685" s="185"/>
    </row>
    <row r="686" spans="1:20" s="19" customFormat="1" ht="48.75" customHeight="1" x14ac:dyDescent="0.3">
      <c r="A686" s="272" t="s">
        <v>56</v>
      </c>
      <c r="B686" s="273" t="s">
        <v>201</v>
      </c>
      <c r="C686" s="233"/>
      <c r="D686" s="233"/>
      <c r="E686" s="233"/>
      <c r="F686" s="233"/>
      <c r="G686" s="233"/>
      <c r="H686" s="233"/>
      <c r="I686" s="234"/>
      <c r="J686" s="233"/>
      <c r="K686" s="235"/>
      <c r="L686" s="235"/>
      <c r="M686" s="233"/>
      <c r="N686" s="235"/>
      <c r="O686" s="233"/>
      <c r="P686" s="236"/>
      <c r="Q686" s="233"/>
      <c r="R686" s="233"/>
      <c r="S686" s="237">
        <f>S701</f>
        <v>31421000</v>
      </c>
      <c r="T686" s="233"/>
    </row>
    <row r="687" spans="1:20" s="19" customFormat="1" ht="18.75" customHeight="1" x14ac:dyDescent="0.3">
      <c r="A687" s="765"/>
      <c r="B687" s="767" t="s">
        <v>51</v>
      </c>
      <c r="C687" s="767" t="s">
        <v>58</v>
      </c>
      <c r="D687" s="768" t="s">
        <v>59</v>
      </c>
      <c r="E687" s="769" t="s">
        <v>60</v>
      </c>
      <c r="F687" s="769" t="s">
        <v>61</v>
      </c>
      <c r="G687" s="769" t="s">
        <v>62</v>
      </c>
      <c r="H687" s="769" t="s">
        <v>63</v>
      </c>
      <c r="I687" s="770" t="s">
        <v>64</v>
      </c>
      <c r="J687" s="757"/>
      <c r="K687" s="757"/>
      <c r="L687" s="757"/>
      <c r="M687" s="758"/>
      <c r="N687" s="771" t="s">
        <v>3</v>
      </c>
      <c r="O687" s="771" t="s">
        <v>65</v>
      </c>
      <c r="P687" s="771" t="s">
        <v>66</v>
      </c>
      <c r="Q687" s="771" t="s">
        <v>67</v>
      </c>
      <c r="R687" s="767" t="s">
        <v>68</v>
      </c>
      <c r="S687" s="767" t="s">
        <v>69</v>
      </c>
      <c r="T687" s="767" t="s">
        <v>70</v>
      </c>
    </row>
    <row r="688" spans="1:20" s="19" customFormat="1" ht="18.75" customHeight="1" x14ac:dyDescent="0.3">
      <c r="A688" s="766"/>
      <c r="B688" s="766"/>
      <c r="C688" s="766"/>
      <c r="D688" s="766"/>
      <c r="E688" s="766"/>
      <c r="F688" s="766"/>
      <c r="G688" s="766"/>
      <c r="H688" s="766"/>
      <c r="I688" s="168" t="s">
        <v>71</v>
      </c>
      <c r="J688" s="159" t="s">
        <v>72</v>
      </c>
      <c r="K688" s="159" t="s">
        <v>73</v>
      </c>
      <c r="L688" s="45" t="s">
        <v>74</v>
      </c>
      <c r="M688" s="204" t="s">
        <v>75</v>
      </c>
      <c r="N688" s="766"/>
      <c r="O688" s="766"/>
      <c r="P688" s="766"/>
      <c r="Q688" s="766"/>
      <c r="R688" s="766"/>
      <c r="S688" s="766"/>
      <c r="T688" s="766"/>
    </row>
    <row r="689" spans="1:20" s="19" customFormat="1" ht="78" customHeight="1" x14ac:dyDescent="0.3">
      <c r="A689" s="196" t="s">
        <v>5</v>
      </c>
      <c r="B689" s="197" t="s">
        <v>76</v>
      </c>
      <c r="C689" s="197" t="s">
        <v>77</v>
      </c>
      <c r="D689" s="197" t="s">
        <v>78</v>
      </c>
      <c r="E689" s="198" t="s">
        <v>79</v>
      </c>
      <c r="F689" s="198" t="s">
        <v>80</v>
      </c>
      <c r="G689" s="198" t="s">
        <v>81</v>
      </c>
      <c r="H689" s="199" t="s">
        <v>82</v>
      </c>
      <c r="I689" s="200" t="s">
        <v>83</v>
      </c>
      <c r="J689" s="201" t="s">
        <v>84</v>
      </c>
      <c r="K689" s="201" t="s">
        <v>85</v>
      </c>
      <c r="L689" s="197" t="s">
        <v>86</v>
      </c>
      <c r="M689" s="202" t="s">
        <v>87</v>
      </c>
      <c r="N689" s="198" t="s">
        <v>88</v>
      </c>
      <c r="O689" s="198" t="s">
        <v>89</v>
      </c>
      <c r="P689" s="198" t="s">
        <v>90</v>
      </c>
      <c r="Q689" s="198" t="s">
        <v>91</v>
      </c>
      <c r="R689" s="198" t="s">
        <v>92</v>
      </c>
      <c r="S689" s="198" t="s">
        <v>964</v>
      </c>
      <c r="T689" s="198" t="s">
        <v>15</v>
      </c>
    </row>
    <row r="690" spans="1:20" s="19" customFormat="1" ht="42.75" customHeight="1" x14ac:dyDescent="0.3">
      <c r="A690" s="634">
        <v>1</v>
      </c>
      <c r="B690" s="635" t="s">
        <v>214</v>
      </c>
      <c r="C690" s="635" t="s">
        <v>894</v>
      </c>
      <c r="D690" s="636" t="s">
        <v>241</v>
      </c>
      <c r="E690" s="636" t="s">
        <v>461</v>
      </c>
      <c r="F690" s="637"/>
      <c r="G690" s="636">
        <v>19</v>
      </c>
      <c r="H690" s="636" t="s">
        <v>95</v>
      </c>
      <c r="I690" s="638">
        <v>9.9</v>
      </c>
      <c r="J690" s="636">
        <v>0</v>
      </c>
      <c r="K690" s="636">
        <v>9.9</v>
      </c>
      <c r="L690" s="636">
        <v>0.99199999999999999</v>
      </c>
      <c r="M690" s="639">
        <v>268000</v>
      </c>
      <c r="N690" s="640">
        <v>0.8</v>
      </c>
      <c r="O690" s="639">
        <v>268000</v>
      </c>
      <c r="P690" s="641">
        <v>2097000</v>
      </c>
      <c r="Q690" s="636" t="s">
        <v>97</v>
      </c>
      <c r="R690" s="636" t="s">
        <v>97</v>
      </c>
      <c r="S690" s="641">
        <v>2097000</v>
      </c>
      <c r="T690" s="636" t="s">
        <v>166</v>
      </c>
    </row>
    <row r="691" spans="1:20" s="19" customFormat="1" ht="74.099999999999994" customHeight="1" x14ac:dyDescent="0.3">
      <c r="A691" s="634">
        <v>2</v>
      </c>
      <c r="B691" s="635" t="s">
        <v>895</v>
      </c>
      <c r="C691" s="635" t="s">
        <v>896</v>
      </c>
      <c r="D691" s="636" t="s">
        <v>217</v>
      </c>
      <c r="E691" s="636" t="s">
        <v>461</v>
      </c>
      <c r="F691" s="637"/>
      <c r="G691" s="636">
        <v>19</v>
      </c>
      <c r="H691" s="636" t="s">
        <v>95</v>
      </c>
      <c r="I691" s="638">
        <v>5.5</v>
      </c>
      <c r="J691" s="636">
        <v>1</v>
      </c>
      <c r="K691" s="636">
        <v>4.5</v>
      </c>
      <c r="L691" s="636">
        <v>0.99199999999999999</v>
      </c>
      <c r="M691" s="639">
        <v>268000</v>
      </c>
      <c r="N691" s="640">
        <v>0.2</v>
      </c>
      <c r="O691" s="639">
        <v>268000</v>
      </c>
      <c r="P691" s="641">
        <v>240000</v>
      </c>
      <c r="Q691" s="636" t="s">
        <v>97</v>
      </c>
      <c r="R691" s="636" t="s">
        <v>97</v>
      </c>
      <c r="S691" s="641">
        <v>240000</v>
      </c>
      <c r="T691" s="636" t="s">
        <v>944</v>
      </c>
    </row>
    <row r="692" spans="1:20" s="19" customFormat="1" ht="126" customHeight="1" x14ac:dyDescent="0.3">
      <c r="A692" s="634">
        <v>3</v>
      </c>
      <c r="B692" s="642" t="s">
        <v>105</v>
      </c>
      <c r="C692" s="642" t="s">
        <v>482</v>
      </c>
      <c r="D692" s="643" t="s">
        <v>241</v>
      </c>
      <c r="E692" s="644" t="s">
        <v>301</v>
      </c>
      <c r="F692" s="645"/>
      <c r="G692" s="646">
        <f>2023-E692</f>
        <v>6</v>
      </c>
      <c r="H692" s="647" t="s">
        <v>95</v>
      </c>
      <c r="I692" s="648">
        <f>3.1*2</f>
        <v>6.2</v>
      </c>
      <c r="J692" s="649" t="s">
        <v>96</v>
      </c>
      <c r="K692" s="650">
        <f t="shared" ref="K692:K700" si="76">+I692-J692</f>
        <v>6.2</v>
      </c>
      <c r="L692" s="651">
        <v>0.99199999999999999</v>
      </c>
      <c r="M692" s="652">
        <v>835000</v>
      </c>
      <c r="N692" s="653">
        <v>0.3</v>
      </c>
      <c r="O692" s="652">
        <f>+M692</f>
        <v>835000</v>
      </c>
      <c r="P692" s="654">
        <f t="shared" ref="P692:P700" si="77">+ROUND((K692*L692*O692*N692),-3)</f>
        <v>1541000</v>
      </c>
      <c r="Q692" s="652" t="s">
        <v>97</v>
      </c>
      <c r="R692" s="652" t="s">
        <v>97</v>
      </c>
      <c r="S692" s="654">
        <f t="shared" ref="S692:S700" si="78">P692</f>
        <v>1541000</v>
      </c>
      <c r="T692" s="655" t="s">
        <v>911</v>
      </c>
    </row>
    <row r="693" spans="1:20" s="19" customFormat="1" ht="66.75" customHeight="1" x14ac:dyDescent="0.3">
      <c r="A693" s="634">
        <v>4</v>
      </c>
      <c r="B693" s="512" t="s">
        <v>99</v>
      </c>
      <c r="C693" s="512" t="s">
        <v>483</v>
      </c>
      <c r="D693" s="513" t="s">
        <v>217</v>
      </c>
      <c r="E693" s="514" t="s">
        <v>461</v>
      </c>
      <c r="F693" s="515"/>
      <c r="G693" s="656">
        <f>2023-2004</f>
        <v>19</v>
      </c>
      <c r="H693" s="657" t="s">
        <v>95</v>
      </c>
      <c r="I693" s="518">
        <f>(0.3*0.3*2.2)*2</f>
        <v>0.39600000000000002</v>
      </c>
      <c r="J693" s="519" t="s">
        <v>96</v>
      </c>
      <c r="K693" s="626">
        <f t="shared" si="76"/>
        <v>0.39600000000000002</v>
      </c>
      <c r="L693" s="520">
        <v>0.99199999999999999</v>
      </c>
      <c r="M693" s="521">
        <v>2556000</v>
      </c>
      <c r="N693" s="522">
        <v>0.8</v>
      </c>
      <c r="O693" s="521">
        <f>+M693</f>
        <v>2556000</v>
      </c>
      <c r="P693" s="523">
        <f t="shared" si="77"/>
        <v>803000</v>
      </c>
      <c r="Q693" s="521" t="s">
        <v>97</v>
      </c>
      <c r="R693" s="521" t="s">
        <v>97</v>
      </c>
      <c r="S693" s="523">
        <f t="shared" si="78"/>
        <v>803000</v>
      </c>
      <c r="T693" s="517" t="s">
        <v>169</v>
      </c>
    </row>
    <row r="694" spans="1:20" s="19" customFormat="1" ht="66.75" customHeight="1" x14ac:dyDescent="0.3">
      <c r="A694" s="634">
        <v>5</v>
      </c>
      <c r="B694" s="512" t="s">
        <v>105</v>
      </c>
      <c r="C694" s="512" t="s">
        <v>484</v>
      </c>
      <c r="D694" s="513" t="s">
        <v>241</v>
      </c>
      <c r="E694" s="514" t="s">
        <v>461</v>
      </c>
      <c r="F694" s="515"/>
      <c r="G694" s="656">
        <f>2023-2004</f>
        <v>19</v>
      </c>
      <c r="H694" s="657" t="s">
        <v>95</v>
      </c>
      <c r="I694" s="518">
        <f>2.3*1.7</f>
        <v>3.9099999999999997</v>
      </c>
      <c r="J694" s="519" t="s">
        <v>96</v>
      </c>
      <c r="K694" s="626">
        <f t="shared" si="76"/>
        <v>3.9099999999999997</v>
      </c>
      <c r="L694" s="520">
        <v>0.99199999999999999</v>
      </c>
      <c r="M694" s="521">
        <v>835000</v>
      </c>
      <c r="N694" s="522">
        <v>0.8</v>
      </c>
      <c r="O694" s="521">
        <f>+M694</f>
        <v>835000</v>
      </c>
      <c r="P694" s="523">
        <f t="shared" si="77"/>
        <v>2591000</v>
      </c>
      <c r="Q694" s="521" t="s">
        <v>97</v>
      </c>
      <c r="R694" s="521" t="s">
        <v>97</v>
      </c>
      <c r="S694" s="523">
        <f t="shared" si="78"/>
        <v>2591000</v>
      </c>
      <c r="T694" s="517" t="s">
        <v>174</v>
      </c>
    </row>
    <row r="695" spans="1:20" s="19" customFormat="1" ht="211.5" customHeight="1" x14ac:dyDescent="0.3">
      <c r="A695" s="634">
        <v>6</v>
      </c>
      <c r="B695" s="512" t="s">
        <v>93</v>
      </c>
      <c r="C695" s="512" t="s">
        <v>1061</v>
      </c>
      <c r="D695" s="513" t="s">
        <v>241</v>
      </c>
      <c r="E695" s="514" t="s">
        <v>461</v>
      </c>
      <c r="F695" s="515"/>
      <c r="G695" s="656">
        <f>2023-2004</f>
        <v>19</v>
      </c>
      <c r="H695" s="657" t="s">
        <v>95</v>
      </c>
      <c r="I695" s="518">
        <f>1.7*12.4</f>
        <v>21.08</v>
      </c>
      <c r="J695" s="519" t="s">
        <v>96</v>
      </c>
      <c r="K695" s="517">
        <f t="shared" si="76"/>
        <v>21.08</v>
      </c>
      <c r="L695" s="520">
        <v>0.99199999999999999</v>
      </c>
      <c r="M695" s="521">
        <v>1323000</v>
      </c>
      <c r="N695" s="522">
        <v>0.8</v>
      </c>
      <c r="O695" s="521">
        <f>+M695*80%*90%</f>
        <v>952560</v>
      </c>
      <c r="P695" s="523">
        <f t="shared" si="77"/>
        <v>15935000</v>
      </c>
      <c r="Q695" s="521" t="s">
        <v>97</v>
      </c>
      <c r="R695" s="521" t="s">
        <v>97</v>
      </c>
      <c r="S695" s="523">
        <f t="shared" si="78"/>
        <v>15935000</v>
      </c>
      <c r="T695" s="517" t="s">
        <v>1057</v>
      </c>
    </row>
    <row r="696" spans="1:20" s="19" customFormat="1" ht="96" customHeight="1" x14ac:dyDescent="0.3">
      <c r="A696" s="634">
        <v>7</v>
      </c>
      <c r="B696" s="512" t="s">
        <v>120</v>
      </c>
      <c r="C696" s="512" t="s">
        <v>485</v>
      </c>
      <c r="D696" s="513" t="s">
        <v>241</v>
      </c>
      <c r="E696" s="514" t="s">
        <v>461</v>
      </c>
      <c r="F696" s="515"/>
      <c r="G696" s="656">
        <f>2023-2004</f>
        <v>19</v>
      </c>
      <c r="H696" s="657" t="s">
        <v>95</v>
      </c>
      <c r="I696" s="518">
        <f>3.4*8</f>
        <v>27.2</v>
      </c>
      <c r="J696" s="519" t="s">
        <v>96</v>
      </c>
      <c r="K696" s="626">
        <f t="shared" si="76"/>
        <v>27.2</v>
      </c>
      <c r="L696" s="520">
        <v>0.99199999999999999</v>
      </c>
      <c r="M696" s="521">
        <v>103000</v>
      </c>
      <c r="N696" s="522">
        <v>0.3</v>
      </c>
      <c r="O696" s="521">
        <f>+M696</f>
        <v>103000</v>
      </c>
      <c r="P696" s="523">
        <f t="shared" si="77"/>
        <v>834000</v>
      </c>
      <c r="Q696" s="521" t="s">
        <v>97</v>
      </c>
      <c r="R696" s="521" t="s">
        <v>97</v>
      </c>
      <c r="S696" s="523">
        <f t="shared" si="78"/>
        <v>834000</v>
      </c>
      <c r="T696" s="517" t="s">
        <v>915</v>
      </c>
    </row>
    <row r="697" spans="1:20" s="19" customFormat="1" ht="96" customHeight="1" x14ac:dyDescent="0.3">
      <c r="A697" s="634">
        <v>8</v>
      </c>
      <c r="B697" s="512" t="s">
        <v>120</v>
      </c>
      <c r="C697" s="512" t="s">
        <v>486</v>
      </c>
      <c r="D697" s="513" t="s">
        <v>241</v>
      </c>
      <c r="E697" s="514" t="s">
        <v>238</v>
      </c>
      <c r="F697" s="515"/>
      <c r="G697" s="656">
        <f>2023-E697</f>
        <v>3</v>
      </c>
      <c r="H697" s="657" t="s">
        <v>95</v>
      </c>
      <c r="I697" s="518">
        <f>4.4*8</f>
        <v>35.200000000000003</v>
      </c>
      <c r="J697" s="519" t="s">
        <v>96</v>
      </c>
      <c r="K697" s="626">
        <f t="shared" si="76"/>
        <v>35.200000000000003</v>
      </c>
      <c r="L697" s="520">
        <v>0.99199999999999999</v>
      </c>
      <c r="M697" s="521">
        <v>249000</v>
      </c>
      <c r="N697" s="522">
        <v>0.8</v>
      </c>
      <c r="O697" s="521">
        <f>+M697</f>
        <v>249000</v>
      </c>
      <c r="P697" s="523">
        <f t="shared" si="77"/>
        <v>6956000</v>
      </c>
      <c r="Q697" s="521" t="s">
        <v>97</v>
      </c>
      <c r="R697" s="521" t="s">
        <v>97</v>
      </c>
      <c r="S697" s="523">
        <f t="shared" si="78"/>
        <v>6956000</v>
      </c>
      <c r="T697" s="517" t="s">
        <v>1035</v>
      </c>
    </row>
    <row r="698" spans="1:20" s="19" customFormat="1" ht="96" customHeight="1" x14ac:dyDescent="0.3">
      <c r="A698" s="634">
        <v>9</v>
      </c>
      <c r="B698" s="512" t="s">
        <v>488</v>
      </c>
      <c r="C698" s="512" t="s">
        <v>489</v>
      </c>
      <c r="D698" s="513" t="s">
        <v>217</v>
      </c>
      <c r="E698" s="514" t="s">
        <v>301</v>
      </c>
      <c r="F698" s="515"/>
      <c r="G698" s="656">
        <f>2023-E698</f>
        <v>6</v>
      </c>
      <c r="H698" s="657" t="s">
        <v>95</v>
      </c>
      <c r="I698" s="518">
        <f>0.3*9.2*0.15</f>
        <v>0.41399999999999998</v>
      </c>
      <c r="J698" s="519" t="s">
        <v>96</v>
      </c>
      <c r="K698" s="626">
        <f t="shared" si="76"/>
        <v>0.41399999999999998</v>
      </c>
      <c r="L698" s="520">
        <v>0.99199999999999999</v>
      </c>
      <c r="M698" s="521">
        <v>2446000</v>
      </c>
      <c r="N698" s="522">
        <v>0.3</v>
      </c>
      <c r="O698" s="521">
        <f>+M698</f>
        <v>2446000</v>
      </c>
      <c r="P698" s="523">
        <f t="shared" si="77"/>
        <v>301000</v>
      </c>
      <c r="Q698" s="521" t="s">
        <v>97</v>
      </c>
      <c r="R698" s="521" t="s">
        <v>97</v>
      </c>
      <c r="S698" s="523">
        <f t="shared" si="78"/>
        <v>301000</v>
      </c>
      <c r="T698" s="517" t="s">
        <v>1062</v>
      </c>
    </row>
    <row r="699" spans="1:20" s="19" customFormat="1" ht="96" customHeight="1" x14ac:dyDescent="0.3">
      <c r="A699" s="634">
        <v>10</v>
      </c>
      <c r="B699" s="512" t="s">
        <v>99</v>
      </c>
      <c r="C699" s="512" t="s">
        <v>490</v>
      </c>
      <c r="D699" s="513" t="s">
        <v>217</v>
      </c>
      <c r="E699" s="514" t="s">
        <v>238</v>
      </c>
      <c r="F699" s="515"/>
      <c r="G699" s="656">
        <f>2023-E699</f>
        <v>3</v>
      </c>
      <c r="H699" s="657" t="s">
        <v>95</v>
      </c>
      <c r="I699" s="518">
        <f>0.6*0.3*0.3</f>
        <v>5.3999999999999999E-2</v>
      </c>
      <c r="J699" s="519" t="s">
        <v>96</v>
      </c>
      <c r="K699" s="626">
        <f t="shared" si="76"/>
        <v>5.3999999999999999E-2</v>
      </c>
      <c r="L699" s="520">
        <v>0.99199999999999999</v>
      </c>
      <c r="M699" s="521">
        <v>2556000</v>
      </c>
      <c r="N699" s="522">
        <v>0.3</v>
      </c>
      <c r="O699" s="521">
        <f>+M699</f>
        <v>2556000</v>
      </c>
      <c r="P699" s="523">
        <f t="shared" si="77"/>
        <v>41000</v>
      </c>
      <c r="Q699" s="521" t="s">
        <v>97</v>
      </c>
      <c r="R699" s="521" t="s">
        <v>97</v>
      </c>
      <c r="S699" s="523">
        <f t="shared" si="78"/>
        <v>41000</v>
      </c>
      <c r="T699" s="517" t="s">
        <v>916</v>
      </c>
    </row>
    <row r="700" spans="1:20" s="19" customFormat="1" ht="96" customHeight="1" x14ac:dyDescent="0.3">
      <c r="A700" s="634" t="s">
        <v>101</v>
      </c>
      <c r="B700" s="512" t="s">
        <v>102</v>
      </c>
      <c r="C700" s="512" t="s">
        <v>945</v>
      </c>
      <c r="D700" s="513" t="s">
        <v>241</v>
      </c>
      <c r="E700" s="514" t="s">
        <v>238</v>
      </c>
      <c r="F700" s="515"/>
      <c r="G700" s="656">
        <f>2023-E700</f>
        <v>3</v>
      </c>
      <c r="H700" s="657" t="s">
        <v>95</v>
      </c>
      <c r="I700" s="518">
        <f>(0.3*4)*0.6</f>
        <v>0.72</v>
      </c>
      <c r="J700" s="519" t="s">
        <v>96</v>
      </c>
      <c r="K700" s="626">
        <f t="shared" si="76"/>
        <v>0.72</v>
      </c>
      <c r="L700" s="520">
        <v>0.99199999999999999</v>
      </c>
      <c r="M700" s="521">
        <v>384000</v>
      </c>
      <c r="N700" s="522">
        <v>0.3</v>
      </c>
      <c r="O700" s="521">
        <f>+M700</f>
        <v>384000</v>
      </c>
      <c r="P700" s="523">
        <f t="shared" si="77"/>
        <v>82000</v>
      </c>
      <c r="Q700" s="521" t="s">
        <v>97</v>
      </c>
      <c r="R700" s="521" t="s">
        <v>97</v>
      </c>
      <c r="S700" s="523">
        <f t="shared" si="78"/>
        <v>82000</v>
      </c>
      <c r="T700" s="517" t="s">
        <v>909</v>
      </c>
    </row>
    <row r="701" spans="1:20" s="19" customFormat="1" ht="53.25" customHeight="1" x14ac:dyDescent="0.3">
      <c r="A701" s="165"/>
      <c r="B701" s="166" t="s">
        <v>55</v>
      </c>
      <c r="C701" s="166"/>
      <c r="D701" s="159"/>
      <c r="E701" s="159"/>
      <c r="F701" s="167"/>
      <c r="G701" s="167"/>
      <c r="H701" s="167"/>
      <c r="I701" s="168"/>
      <c r="J701" s="167"/>
      <c r="K701" s="167"/>
      <c r="L701" s="167"/>
      <c r="M701" s="167"/>
      <c r="N701" s="167"/>
      <c r="O701" s="167"/>
      <c r="P701" s="167"/>
      <c r="Q701" s="167"/>
      <c r="R701" s="167"/>
      <c r="S701" s="45">
        <f>SUM(S690:S700)</f>
        <v>31421000</v>
      </c>
      <c r="T701" s="167"/>
    </row>
    <row r="702" spans="1:20" s="19" customFormat="1" ht="30" customHeight="1" x14ac:dyDescent="0.3">
      <c r="A702" s="171" t="s">
        <v>131</v>
      </c>
      <c r="B702" s="172" t="s">
        <v>132</v>
      </c>
      <c r="C702" s="173"/>
      <c r="D702" s="466"/>
      <c r="E702" s="466"/>
      <c r="F702" s="466"/>
      <c r="G702" s="466"/>
      <c r="H702" s="466"/>
      <c r="I702" s="467"/>
      <c r="J702" s="466"/>
      <c r="K702" s="468"/>
      <c r="L702" s="468"/>
      <c r="M702" s="466"/>
      <c r="N702" s="468"/>
      <c r="O702" s="466"/>
      <c r="P702" s="469"/>
      <c r="Q702" s="466"/>
      <c r="R702" s="466"/>
      <c r="S702" s="470"/>
      <c r="T702" s="466"/>
    </row>
    <row r="703" spans="1:20" s="19" customFormat="1" ht="30" customHeight="1" x14ac:dyDescent="0.3">
      <c r="A703" s="171" t="s">
        <v>133</v>
      </c>
      <c r="B703" s="172" t="s">
        <v>134</v>
      </c>
      <c r="C703" s="174"/>
      <c r="D703" s="174"/>
      <c r="E703" s="174"/>
      <c r="F703" s="174"/>
      <c r="G703" s="174"/>
      <c r="H703" s="174"/>
      <c r="I703" s="175"/>
      <c r="J703" s="174"/>
      <c r="K703" s="176"/>
      <c r="L703" s="176"/>
      <c r="M703" s="174"/>
      <c r="N703" s="176"/>
      <c r="O703" s="174"/>
      <c r="P703" s="177"/>
      <c r="Q703" s="174"/>
      <c r="R703" s="174"/>
      <c r="S703" s="174"/>
      <c r="T703" s="174"/>
    </row>
    <row r="704" spans="1:20" s="19" customFormat="1" ht="30" customHeight="1" x14ac:dyDescent="0.3">
      <c r="A704" s="178" t="s">
        <v>135</v>
      </c>
      <c r="B704" s="756" t="s">
        <v>491</v>
      </c>
      <c r="C704" s="757"/>
      <c r="D704" s="757"/>
      <c r="E704" s="757"/>
      <c r="F704" s="757"/>
      <c r="G704" s="757"/>
      <c r="H704" s="757"/>
      <c r="I704" s="757"/>
      <c r="J704" s="757"/>
      <c r="K704" s="757"/>
      <c r="L704" s="757"/>
      <c r="M704" s="757"/>
      <c r="N704" s="757"/>
      <c r="O704" s="757"/>
      <c r="P704" s="757"/>
      <c r="Q704" s="757"/>
      <c r="R704" s="758"/>
      <c r="S704" s="29">
        <f>+S701+S685</f>
        <v>38173000</v>
      </c>
      <c r="T704" s="174" t="s">
        <v>137</v>
      </c>
    </row>
    <row r="705" spans="1:20" ht="22.5" customHeight="1" x14ac:dyDescent="0.3">
      <c r="A705" s="474"/>
      <c r="B705" s="829" t="s">
        <v>492</v>
      </c>
      <c r="C705" s="773"/>
      <c r="D705" s="773"/>
      <c r="E705" s="773"/>
      <c r="F705" s="773"/>
      <c r="G705" s="773"/>
      <c r="H705" s="773"/>
      <c r="I705" s="773"/>
      <c r="J705" s="773"/>
      <c r="K705" s="773"/>
      <c r="L705" s="773"/>
      <c r="M705" s="773"/>
      <c r="N705" s="773"/>
      <c r="O705" s="773"/>
      <c r="P705" s="773"/>
      <c r="Q705" s="773"/>
      <c r="R705" s="773"/>
      <c r="S705" s="773"/>
      <c r="T705" s="474"/>
    </row>
    <row r="706" spans="1:20" ht="18.75" customHeight="1" x14ac:dyDescent="0.3">
      <c r="A706" s="474"/>
      <c r="B706" s="772" t="s">
        <v>1</v>
      </c>
      <c r="C706" s="773"/>
      <c r="D706" s="773"/>
      <c r="E706" s="773"/>
      <c r="F706" s="773"/>
      <c r="G706" s="773"/>
      <c r="H706" s="773"/>
      <c r="I706" s="773"/>
      <c r="J706" s="773"/>
      <c r="K706" s="773"/>
      <c r="L706" s="773"/>
      <c r="M706" s="773"/>
      <c r="N706" s="773"/>
      <c r="O706" s="773"/>
      <c r="P706" s="773"/>
      <c r="Q706" s="773"/>
      <c r="R706" s="773"/>
      <c r="S706" s="773"/>
      <c r="T706" s="474"/>
    </row>
    <row r="707" spans="1:20" ht="18.75" customHeight="1" x14ac:dyDescent="0.3">
      <c r="A707" s="474"/>
      <c r="B707" s="772" t="s">
        <v>2</v>
      </c>
      <c r="C707" s="773"/>
      <c r="D707" s="773"/>
      <c r="E707" s="773"/>
      <c r="F707" s="773"/>
      <c r="G707" s="773"/>
      <c r="H707" s="773"/>
      <c r="I707" s="773"/>
      <c r="J707" s="773"/>
      <c r="K707" s="773"/>
      <c r="L707" s="773"/>
      <c r="M707" s="773"/>
      <c r="N707" s="773"/>
      <c r="O707" s="773"/>
      <c r="P707" s="773"/>
      <c r="Q707" s="773"/>
      <c r="R707" s="773"/>
      <c r="S707" s="773"/>
      <c r="T707" s="474"/>
    </row>
    <row r="708" spans="1:20" ht="25.5" customHeight="1" x14ac:dyDescent="0.3">
      <c r="A708" s="475"/>
      <c r="B708" s="809" t="str">
        <f>B663</f>
        <v>(Kèm theo Quyết định số     /QĐ-UBND ngày     tháng     năm 2026 của Ủy ban nhân dân xã Thuận An)</v>
      </c>
      <c r="C708" s="773"/>
      <c r="D708" s="773"/>
      <c r="E708" s="773"/>
      <c r="F708" s="773"/>
      <c r="G708" s="773"/>
      <c r="H708" s="773"/>
      <c r="I708" s="773"/>
      <c r="J708" s="773"/>
      <c r="K708" s="773"/>
      <c r="L708" s="773"/>
      <c r="M708" s="773"/>
      <c r="N708" s="773"/>
      <c r="O708" s="773"/>
      <c r="P708" s="773"/>
      <c r="Q708" s="773"/>
      <c r="R708" s="773"/>
      <c r="S708" s="773"/>
      <c r="T708" s="475"/>
    </row>
    <row r="709" spans="1:20" ht="36" customHeight="1" thickBot="1" x14ac:dyDescent="0.35">
      <c r="A709" s="660" t="s">
        <v>3</v>
      </c>
      <c r="B709" s="661" t="s">
        <v>4</v>
      </c>
      <c r="C709" s="662"/>
      <c r="D709" s="662"/>
      <c r="E709" s="662"/>
      <c r="F709" s="662"/>
      <c r="G709" s="662"/>
      <c r="H709" s="662"/>
      <c r="I709" s="663"/>
      <c r="J709" s="662"/>
      <c r="K709" s="664"/>
      <c r="L709" s="664"/>
      <c r="M709" s="662"/>
      <c r="N709" s="664"/>
      <c r="O709" s="662"/>
      <c r="P709" s="665"/>
      <c r="Q709" s="662"/>
      <c r="R709" s="662"/>
      <c r="S709" s="666"/>
      <c r="T709" s="662"/>
    </row>
    <row r="710" spans="1:20" ht="44.25" customHeight="1" x14ac:dyDescent="0.3">
      <c r="A710" s="865" t="s">
        <v>5</v>
      </c>
      <c r="B710" s="866" t="s">
        <v>6</v>
      </c>
      <c r="C710" s="867" t="s">
        <v>7</v>
      </c>
      <c r="D710" s="868" t="s">
        <v>493</v>
      </c>
      <c r="E710" s="818"/>
      <c r="F710" s="819"/>
      <c r="G710" s="868" t="s">
        <v>494</v>
      </c>
      <c r="H710" s="818"/>
      <c r="I710" s="819"/>
      <c r="J710" s="868" t="s">
        <v>495</v>
      </c>
      <c r="K710" s="818"/>
      <c r="L710" s="819"/>
      <c r="M710" s="869" t="s">
        <v>8</v>
      </c>
      <c r="N710" s="870" t="s">
        <v>9</v>
      </c>
      <c r="O710" s="870" t="s">
        <v>10</v>
      </c>
      <c r="P710" s="871" t="s">
        <v>11</v>
      </c>
      <c r="Q710" s="871" t="s">
        <v>12</v>
      </c>
      <c r="R710" s="871" t="s">
        <v>13</v>
      </c>
      <c r="S710" s="866" t="s">
        <v>14</v>
      </c>
      <c r="T710" s="872" t="s">
        <v>15</v>
      </c>
    </row>
    <row r="711" spans="1:20" ht="30.75" customHeight="1" x14ac:dyDescent="0.3">
      <c r="A711" s="811"/>
      <c r="B711" s="813"/>
      <c r="C711" s="815"/>
      <c r="D711" s="873" t="s">
        <v>16</v>
      </c>
      <c r="E711" s="859" t="s">
        <v>17</v>
      </c>
      <c r="F711" s="828"/>
      <c r="G711" s="873" t="s">
        <v>16</v>
      </c>
      <c r="H711" s="859" t="s">
        <v>17</v>
      </c>
      <c r="I711" s="828"/>
      <c r="J711" s="857" t="s">
        <v>18</v>
      </c>
      <c r="K711" s="859" t="s">
        <v>17</v>
      </c>
      <c r="L711" s="828"/>
      <c r="M711" s="821"/>
      <c r="N711" s="813"/>
      <c r="O711" s="813"/>
      <c r="P711" s="813"/>
      <c r="Q711" s="813"/>
      <c r="R711" s="813"/>
      <c r="S711" s="813"/>
      <c r="T711" s="826"/>
    </row>
    <row r="712" spans="1:20" ht="58.5" customHeight="1" x14ac:dyDescent="0.3">
      <c r="A712" s="801"/>
      <c r="B712" s="766"/>
      <c r="C712" s="816"/>
      <c r="D712" s="801"/>
      <c r="E712" s="3" t="s">
        <v>496</v>
      </c>
      <c r="F712" s="4" t="s">
        <v>497</v>
      </c>
      <c r="G712" s="801"/>
      <c r="H712" s="3" t="s">
        <v>496</v>
      </c>
      <c r="I712" s="123" t="s">
        <v>497</v>
      </c>
      <c r="J712" s="801"/>
      <c r="K712" s="3" t="s">
        <v>496</v>
      </c>
      <c r="L712" s="4" t="s">
        <v>497</v>
      </c>
      <c r="M712" s="822"/>
      <c r="N712" s="766"/>
      <c r="O712" s="766"/>
      <c r="P712" s="766"/>
      <c r="Q712" s="766"/>
      <c r="R712" s="766"/>
      <c r="S712" s="766"/>
      <c r="T712" s="808"/>
    </row>
    <row r="713" spans="1:20" ht="96" customHeight="1" x14ac:dyDescent="0.3">
      <c r="A713" s="5" t="s">
        <v>498</v>
      </c>
      <c r="B713" s="6" t="s">
        <v>499</v>
      </c>
      <c r="C713" s="7" t="s">
        <v>500</v>
      </c>
      <c r="D713" s="8">
        <f>E713+F713</f>
        <v>13865</v>
      </c>
      <c r="E713" s="9">
        <v>120</v>
      </c>
      <c r="F713" s="10">
        <v>13745</v>
      </c>
      <c r="G713" s="8">
        <f>+H713+I713</f>
        <v>515</v>
      </c>
      <c r="H713" s="9">
        <v>120</v>
      </c>
      <c r="I713" s="124">
        <f>320+75</f>
        <v>395</v>
      </c>
      <c r="J713" s="8">
        <f>62.1+47.2</f>
        <v>109.30000000000001</v>
      </c>
      <c r="K713" s="9">
        <v>0</v>
      </c>
      <c r="L713" s="10">
        <f>J713</f>
        <v>109.30000000000001</v>
      </c>
      <c r="M713" s="667">
        <v>0</v>
      </c>
      <c r="N713" s="16">
        <f>L713/F713</f>
        <v>7.9519825391051301E-3</v>
      </c>
      <c r="O713" s="14" t="s">
        <v>21</v>
      </c>
      <c r="P713" s="12" t="s">
        <v>197</v>
      </c>
      <c r="Q713" s="12" t="s">
        <v>23</v>
      </c>
      <c r="R713" s="11" t="s">
        <v>24</v>
      </c>
      <c r="S713" s="11" t="s">
        <v>25</v>
      </c>
      <c r="T713" s="13" t="s">
        <v>501</v>
      </c>
    </row>
    <row r="714" spans="1:20" ht="18.75" x14ac:dyDescent="0.3">
      <c r="A714" s="660" t="s">
        <v>27</v>
      </c>
      <c r="B714" s="661" t="s">
        <v>777</v>
      </c>
      <c r="C714" s="662"/>
      <c r="D714" s="662"/>
      <c r="E714" s="662"/>
      <c r="F714" s="662"/>
      <c r="G714" s="662"/>
      <c r="H714" s="662"/>
      <c r="I714" s="663"/>
      <c r="J714" s="662"/>
      <c r="K714" s="664"/>
      <c r="L714" s="664"/>
      <c r="M714" s="662"/>
      <c r="N714" s="664"/>
      <c r="O714" s="662"/>
      <c r="P714" s="665"/>
      <c r="Q714" s="662"/>
      <c r="R714" s="662"/>
      <c r="S714" s="666"/>
      <c r="T714" s="662"/>
    </row>
    <row r="715" spans="1:20" ht="54" customHeight="1" x14ac:dyDescent="0.3">
      <c r="A715" s="781" t="s">
        <v>5</v>
      </c>
      <c r="B715" s="783" t="s">
        <v>663</v>
      </c>
      <c r="C715" s="783" t="s">
        <v>664</v>
      </c>
      <c r="D715" s="785" t="s">
        <v>665</v>
      </c>
      <c r="E715" s="786"/>
      <c r="F715" s="786"/>
      <c r="G715" s="787"/>
      <c r="H715" s="788" t="s">
        <v>666</v>
      </c>
      <c r="I715" s="790" t="s">
        <v>667</v>
      </c>
      <c r="J715" s="760"/>
      <c r="K715" s="791"/>
      <c r="L715" s="792" t="s">
        <v>668</v>
      </c>
      <c r="M715" s="793"/>
      <c r="N715" s="794" t="s">
        <v>43</v>
      </c>
      <c r="O715" s="783" t="s">
        <v>669</v>
      </c>
      <c r="P715" s="796" t="s">
        <v>670</v>
      </c>
      <c r="Q715" s="796" t="s">
        <v>42</v>
      </c>
      <c r="R715" s="783" t="s">
        <v>671</v>
      </c>
      <c r="S715" s="783" t="s">
        <v>44</v>
      </c>
      <c r="T715" s="798" t="s">
        <v>15</v>
      </c>
    </row>
    <row r="716" spans="1:20" ht="105.75" customHeight="1" x14ac:dyDescent="0.3">
      <c r="A716" s="782"/>
      <c r="B716" s="784"/>
      <c r="C716" s="784"/>
      <c r="D716" s="407" t="s">
        <v>672</v>
      </c>
      <c r="E716" s="407" t="s">
        <v>673</v>
      </c>
      <c r="F716" s="407" t="s">
        <v>759</v>
      </c>
      <c r="G716" s="407" t="s">
        <v>17</v>
      </c>
      <c r="H716" s="789"/>
      <c r="I716" s="125" t="s">
        <v>674</v>
      </c>
      <c r="J716" s="418" t="s">
        <v>675</v>
      </c>
      <c r="K716" s="81" t="s">
        <v>676</v>
      </c>
      <c r="L716" s="82" t="s">
        <v>677</v>
      </c>
      <c r="M716" s="83" t="s">
        <v>678</v>
      </c>
      <c r="N716" s="795"/>
      <c r="O716" s="784"/>
      <c r="P716" s="797"/>
      <c r="Q716" s="797"/>
      <c r="R716" s="784"/>
      <c r="S716" s="784"/>
      <c r="T716" s="799"/>
    </row>
    <row r="717" spans="1:20" ht="98.25" customHeight="1" x14ac:dyDescent="0.3">
      <c r="A717" s="69" t="s">
        <v>19</v>
      </c>
      <c r="B717" s="70" t="s">
        <v>679</v>
      </c>
      <c r="C717" s="92" t="s">
        <v>807</v>
      </c>
      <c r="D717" s="93" t="s">
        <v>125</v>
      </c>
      <c r="E717" s="93" t="s">
        <v>680</v>
      </c>
      <c r="F717" s="94">
        <v>62.1</v>
      </c>
      <c r="G717" s="95" t="s">
        <v>681</v>
      </c>
      <c r="H717" s="96" t="s">
        <v>808</v>
      </c>
      <c r="I717" s="74">
        <v>62.1</v>
      </c>
      <c r="J717" s="84">
        <v>0</v>
      </c>
      <c r="K717" s="84">
        <f>I717+J717</f>
        <v>62.1</v>
      </c>
      <c r="L717" s="85">
        <v>0</v>
      </c>
      <c r="M717" s="75"/>
      <c r="N717" s="76">
        <v>1</v>
      </c>
      <c r="O717" s="77">
        <v>1</v>
      </c>
      <c r="P717" s="78">
        <v>942000</v>
      </c>
      <c r="Q717" s="78">
        <f>+ROUND((P717*N717*K717),-3)</f>
        <v>58498000</v>
      </c>
      <c r="R717" s="78">
        <f>-ROUND((38000*J717*0.5%),-3)</f>
        <v>0</v>
      </c>
      <c r="S717" s="79">
        <f>+Q717+R717</f>
        <v>58498000</v>
      </c>
      <c r="T717" s="911" t="s">
        <v>833</v>
      </c>
    </row>
    <row r="718" spans="1:20" ht="98.25" customHeight="1" x14ac:dyDescent="0.3">
      <c r="A718" s="69" t="s">
        <v>98</v>
      </c>
      <c r="B718" s="70" t="s">
        <v>679</v>
      </c>
      <c r="C718" s="92" t="s">
        <v>809</v>
      </c>
      <c r="D718" s="93" t="s">
        <v>398</v>
      </c>
      <c r="E718" s="93" t="s">
        <v>680</v>
      </c>
      <c r="F718" s="94">
        <v>47.2</v>
      </c>
      <c r="G718" s="95" t="s">
        <v>681</v>
      </c>
      <c r="H718" s="96" t="s">
        <v>810</v>
      </c>
      <c r="I718" s="74">
        <v>45.8</v>
      </c>
      <c r="J718" s="84">
        <v>0</v>
      </c>
      <c r="K718" s="84">
        <f>I718+J718</f>
        <v>45.8</v>
      </c>
      <c r="L718" s="85">
        <v>1.4</v>
      </c>
      <c r="M718" s="75" t="s">
        <v>734</v>
      </c>
      <c r="N718" s="76">
        <v>1</v>
      </c>
      <c r="O718" s="77">
        <v>1</v>
      </c>
      <c r="P718" s="78">
        <v>856000</v>
      </c>
      <c r="Q718" s="78">
        <f>+ROUND((P718*N718*K718),-3)</f>
        <v>39205000</v>
      </c>
      <c r="R718" s="78">
        <f>-ROUND((38000*J718*0.5%),-3)</f>
        <v>0</v>
      </c>
      <c r="S718" s="79">
        <f>+Q718+R718</f>
        <v>39205000</v>
      </c>
      <c r="T718" s="912"/>
    </row>
    <row r="719" spans="1:20" ht="21" customHeight="1" x14ac:dyDescent="0.3">
      <c r="A719" s="660" t="s">
        <v>28</v>
      </c>
      <c r="B719" s="661" t="s">
        <v>141</v>
      </c>
      <c r="C719" s="662"/>
      <c r="D719" s="662"/>
      <c r="E719" s="662"/>
      <c r="F719" s="662"/>
      <c r="G719" s="662"/>
      <c r="H719" s="662"/>
      <c r="I719" s="663"/>
      <c r="J719" s="662"/>
      <c r="K719" s="664"/>
      <c r="L719" s="664"/>
      <c r="M719" s="662"/>
      <c r="N719" s="664"/>
      <c r="O719" s="662"/>
      <c r="P719" s="665"/>
      <c r="Q719" s="666"/>
      <c r="R719" s="666"/>
      <c r="S719" s="668">
        <f>S732</f>
        <v>3249000</v>
      </c>
      <c r="T719" s="662"/>
    </row>
    <row r="720" spans="1:20" ht="32.25" customHeight="1" x14ac:dyDescent="0.3">
      <c r="A720" s="857" t="s">
        <v>5</v>
      </c>
      <c r="B720" s="858" t="s">
        <v>30</v>
      </c>
      <c r="C720" s="858" t="s">
        <v>31</v>
      </c>
      <c r="D720" s="858" t="s">
        <v>32</v>
      </c>
      <c r="E720" s="859" t="s">
        <v>33</v>
      </c>
      <c r="F720" s="758"/>
      <c r="G720" s="858" t="s">
        <v>34</v>
      </c>
      <c r="H720" s="858" t="s">
        <v>35</v>
      </c>
      <c r="I720" s="860" t="s">
        <v>36</v>
      </c>
      <c r="J720" s="758"/>
      <c r="K720" s="861" t="s">
        <v>37</v>
      </c>
      <c r="L720" s="861" t="s">
        <v>38</v>
      </c>
      <c r="M720" s="862" t="s">
        <v>39</v>
      </c>
      <c r="N720" s="858" t="s">
        <v>839</v>
      </c>
      <c r="O720" s="858" t="s">
        <v>502</v>
      </c>
      <c r="P720" s="863" t="s">
        <v>41</v>
      </c>
      <c r="Q720" s="863" t="s">
        <v>42</v>
      </c>
      <c r="R720" s="858" t="s">
        <v>43</v>
      </c>
      <c r="S720" s="858" t="s">
        <v>44</v>
      </c>
      <c r="T720" s="864" t="s">
        <v>15</v>
      </c>
    </row>
    <row r="721" spans="1:20" ht="52.5" customHeight="1" x14ac:dyDescent="0.3">
      <c r="A721" s="801"/>
      <c r="B721" s="766"/>
      <c r="C721" s="766"/>
      <c r="D721" s="766"/>
      <c r="E721" s="3" t="s">
        <v>45</v>
      </c>
      <c r="F721" s="3" t="s">
        <v>46</v>
      </c>
      <c r="G721" s="766"/>
      <c r="H721" s="766"/>
      <c r="I721" s="15" t="s">
        <v>47</v>
      </c>
      <c r="J721" s="9" t="s">
        <v>48</v>
      </c>
      <c r="K721" s="766"/>
      <c r="L721" s="766"/>
      <c r="M721" s="766"/>
      <c r="N721" s="766"/>
      <c r="O721" s="766"/>
      <c r="P721" s="766"/>
      <c r="Q721" s="766"/>
      <c r="R721" s="766"/>
      <c r="S721" s="766"/>
      <c r="T721" s="808"/>
    </row>
    <row r="722" spans="1:20" ht="43.5" customHeight="1" x14ac:dyDescent="0.3">
      <c r="A722" s="104"/>
      <c r="B722" s="146" t="s">
        <v>840</v>
      </c>
      <c r="C722" s="105"/>
      <c r="D722" s="104"/>
      <c r="E722" s="104"/>
      <c r="F722" s="104"/>
      <c r="G722" s="106"/>
      <c r="H722" s="106"/>
      <c r="I722" s="126"/>
      <c r="J722" s="106"/>
      <c r="K722" s="104"/>
      <c r="L722" s="107"/>
      <c r="M722" s="108"/>
      <c r="N722" s="108"/>
      <c r="O722" s="109"/>
      <c r="P722" s="107"/>
      <c r="Q722" s="110"/>
      <c r="R722" s="110"/>
      <c r="S722" s="110"/>
      <c r="T722" s="104"/>
    </row>
    <row r="723" spans="1:20" ht="33.75" customHeight="1" x14ac:dyDescent="0.3">
      <c r="A723" s="104"/>
      <c r="B723" s="146" t="s">
        <v>835</v>
      </c>
      <c r="C723" s="105"/>
      <c r="D723" s="104"/>
      <c r="E723" s="104"/>
      <c r="F723" s="104"/>
      <c r="G723" s="106"/>
      <c r="H723" s="106"/>
      <c r="I723" s="126"/>
      <c r="J723" s="106"/>
      <c r="K723" s="104"/>
      <c r="L723" s="107"/>
      <c r="M723" s="108"/>
      <c r="N723" s="108"/>
      <c r="O723" s="120">
        <f>SUM(O724:O726)</f>
        <v>55.543589743589742</v>
      </c>
      <c r="P723" s="107"/>
      <c r="Q723" s="110"/>
      <c r="R723" s="110"/>
      <c r="S723" s="110">
        <f>SUM(S724:S726)</f>
        <v>2035000</v>
      </c>
      <c r="T723" s="104"/>
    </row>
    <row r="724" spans="1:20" ht="81.75" customHeight="1" x14ac:dyDescent="0.3">
      <c r="A724" s="136" t="s">
        <v>19</v>
      </c>
      <c r="B724" s="137" t="s">
        <v>504</v>
      </c>
      <c r="C724" s="138" t="s">
        <v>480</v>
      </c>
      <c r="D724" s="52"/>
      <c r="E724" s="138" t="s">
        <v>27</v>
      </c>
      <c r="F724" s="139" t="s">
        <v>150</v>
      </c>
      <c r="G724" s="138" t="s">
        <v>146</v>
      </c>
      <c r="H724" s="138" t="s">
        <v>21</v>
      </c>
      <c r="I724" s="140" t="s">
        <v>301</v>
      </c>
      <c r="J724" s="141"/>
      <c r="K724" s="142">
        <v>2</v>
      </c>
      <c r="L724" s="142">
        <f>K724</f>
        <v>2</v>
      </c>
      <c r="M724" s="52" t="s">
        <v>158</v>
      </c>
      <c r="N724" s="143">
        <f>10000/25000</f>
        <v>0.4</v>
      </c>
      <c r="O724" s="143">
        <f>N724*L724</f>
        <v>0.8</v>
      </c>
      <c r="P724" s="144">
        <v>80000</v>
      </c>
      <c r="Q724" s="144">
        <f>+ROUND((L724*P724),-3)</f>
        <v>160000</v>
      </c>
      <c r="R724" s="145">
        <v>1</v>
      </c>
      <c r="S724" s="144">
        <f>+ROUND((Q724*R724),-3)</f>
        <v>160000</v>
      </c>
      <c r="T724" s="52" t="s">
        <v>394</v>
      </c>
    </row>
    <row r="725" spans="1:20" ht="81.75" customHeight="1" x14ac:dyDescent="0.3">
      <c r="A725" s="136" t="s">
        <v>98</v>
      </c>
      <c r="B725" s="137" t="s">
        <v>393</v>
      </c>
      <c r="C725" s="138" t="s">
        <v>505</v>
      </c>
      <c r="D725" s="52" t="s">
        <v>58</v>
      </c>
      <c r="E725" s="138" t="s">
        <v>27</v>
      </c>
      <c r="F725" s="139" t="s">
        <v>152</v>
      </c>
      <c r="G725" s="138" t="s">
        <v>146</v>
      </c>
      <c r="H725" s="138" t="s">
        <v>21</v>
      </c>
      <c r="I725" s="140" t="s">
        <v>151</v>
      </c>
      <c r="J725" s="141">
        <f>2025-I725-3</f>
        <v>17</v>
      </c>
      <c r="K725" s="142">
        <v>1</v>
      </c>
      <c r="L725" s="142">
        <f>K725</f>
        <v>1</v>
      </c>
      <c r="M725" s="52" t="s">
        <v>54</v>
      </c>
      <c r="N725" s="143">
        <f>10000/208</f>
        <v>48.07692307692308</v>
      </c>
      <c r="O725" s="143">
        <f>N725*L725</f>
        <v>48.07692307692308</v>
      </c>
      <c r="P725" s="144">
        <v>1422700</v>
      </c>
      <c r="Q725" s="144">
        <f>+ROUND((L725*P725),-3)</f>
        <v>1423000</v>
      </c>
      <c r="R725" s="145">
        <v>1</v>
      </c>
      <c r="S725" s="144">
        <f>+ROUND((Q725*R725),-3)</f>
        <v>1423000</v>
      </c>
      <c r="T725" s="52" t="s">
        <v>394</v>
      </c>
    </row>
    <row r="726" spans="1:20" ht="81.75" customHeight="1" x14ac:dyDescent="0.3">
      <c r="A726" s="136" t="s">
        <v>104</v>
      </c>
      <c r="B726" s="137" t="s">
        <v>144</v>
      </c>
      <c r="C726" s="138" t="s">
        <v>506</v>
      </c>
      <c r="D726" s="52"/>
      <c r="E726" s="138" t="s">
        <v>27</v>
      </c>
      <c r="F726" s="139" t="s">
        <v>52</v>
      </c>
      <c r="G726" s="138" t="s">
        <v>146</v>
      </c>
      <c r="H726" s="138" t="s">
        <v>21</v>
      </c>
      <c r="I726" s="140" t="s">
        <v>200</v>
      </c>
      <c r="J726" s="141">
        <f>2025-I726-3</f>
        <v>7</v>
      </c>
      <c r="K726" s="142">
        <v>1</v>
      </c>
      <c r="L726" s="142">
        <f>K726</f>
        <v>1</v>
      </c>
      <c r="M726" s="52" t="s">
        <v>54</v>
      </c>
      <c r="N726" s="143">
        <f>10000/1500</f>
        <v>6.666666666666667</v>
      </c>
      <c r="O726" s="143">
        <f>N726*L726</f>
        <v>6.666666666666667</v>
      </c>
      <c r="P726" s="144">
        <v>452000</v>
      </c>
      <c r="Q726" s="144">
        <f>+ROUND((L726*P726),-3)</f>
        <v>452000</v>
      </c>
      <c r="R726" s="145">
        <v>1</v>
      </c>
      <c r="S726" s="144">
        <f>+ROUND((Q726*R726),-3)</f>
        <v>452000</v>
      </c>
      <c r="T726" s="52" t="s">
        <v>333</v>
      </c>
    </row>
    <row r="727" spans="1:20" ht="40.5" customHeight="1" x14ac:dyDescent="0.3">
      <c r="A727" s="104" t="s">
        <v>836</v>
      </c>
      <c r="B727" s="111" t="s">
        <v>837</v>
      </c>
      <c r="C727" s="112"/>
      <c r="D727" s="113"/>
      <c r="E727" s="113"/>
      <c r="F727" s="113"/>
      <c r="G727" s="114"/>
      <c r="H727" s="114"/>
      <c r="I727" s="127"/>
      <c r="J727" s="114"/>
      <c r="K727" s="115"/>
      <c r="L727" s="116"/>
      <c r="M727" s="116"/>
      <c r="N727" s="116"/>
      <c r="O727" s="117"/>
      <c r="P727" s="116"/>
      <c r="Q727" s="118"/>
      <c r="R727" s="118"/>
      <c r="S727" s="110">
        <f>+ROUND((S723*50%),-3)</f>
        <v>1018000</v>
      </c>
      <c r="T727" s="113"/>
    </row>
    <row r="728" spans="1:20" ht="18.75" x14ac:dyDescent="0.3">
      <c r="A728" s="113"/>
      <c r="B728" s="146" t="s">
        <v>838</v>
      </c>
      <c r="C728" s="119"/>
      <c r="D728" s="113"/>
      <c r="E728" s="113"/>
      <c r="F728" s="113"/>
      <c r="G728" s="114"/>
      <c r="H728" s="114"/>
      <c r="I728" s="127"/>
      <c r="J728" s="114"/>
      <c r="K728" s="115"/>
      <c r="L728" s="116"/>
      <c r="M728" s="116"/>
      <c r="N728" s="116"/>
      <c r="O728" s="117"/>
      <c r="P728" s="116"/>
      <c r="Q728" s="118"/>
      <c r="R728" s="118"/>
      <c r="S728" s="110">
        <f>SUM(S729:S729)</f>
        <v>534000</v>
      </c>
      <c r="T728" s="113"/>
    </row>
    <row r="729" spans="1:20" s="19" customFormat="1" ht="81.75" customHeight="1" x14ac:dyDescent="0.3">
      <c r="A729" s="136" t="s">
        <v>107</v>
      </c>
      <c r="B729" s="137" t="s">
        <v>507</v>
      </c>
      <c r="C729" s="157" t="s">
        <v>618</v>
      </c>
      <c r="D729" s="52" t="s">
        <v>58</v>
      </c>
      <c r="E729" s="138" t="s">
        <v>27</v>
      </c>
      <c r="F729" s="139" t="s">
        <v>150</v>
      </c>
      <c r="G729" s="138" t="s">
        <v>146</v>
      </c>
      <c r="H729" s="138" t="s">
        <v>21</v>
      </c>
      <c r="I729" s="140" t="s">
        <v>508</v>
      </c>
      <c r="J729" s="141">
        <f>2026+1-I729-3</f>
        <v>5</v>
      </c>
      <c r="K729" s="142">
        <v>1</v>
      </c>
      <c r="L729" s="142">
        <f>K729</f>
        <v>1</v>
      </c>
      <c r="M729" s="52" t="s">
        <v>54</v>
      </c>
      <c r="N729" s="143">
        <f>10000/625</f>
        <v>16</v>
      </c>
      <c r="O729" s="143">
        <f t="shared" ref="O729" si="79">N729*L729</f>
        <v>16</v>
      </c>
      <c r="P729" s="144">
        <v>533900</v>
      </c>
      <c r="Q729" s="144">
        <f>+ROUND((L729*P729),-3)</f>
        <v>534000</v>
      </c>
      <c r="R729" s="145">
        <v>1</v>
      </c>
      <c r="S729" s="144">
        <f>+ROUND((Q729*R729),-3)</f>
        <v>534000</v>
      </c>
      <c r="T729" s="52" t="s">
        <v>394</v>
      </c>
    </row>
    <row r="730" spans="1:20" ht="43.5" customHeight="1" x14ac:dyDescent="0.3">
      <c r="A730" s="104"/>
      <c r="B730" s="146" t="s">
        <v>841</v>
      </c>
      <c r="C730" s="105"/>
      <c r="D730" s="104"/>
      <c r="E730" s="104"/>
      <c r="F730" s="104"/>
      <c r="G730" s="106"/>
      <c r="H730" s="106"/>
      <c r="I730" s="126"/>
      <c r="J730" s="106"/>
      <c r="K730" s="104"/>
      <c r="L730" s="107"/>
      <c r="M730" s="108"/>
      <c r="N730" s="108"/>
      <c r="O730" s="109"/>
      <c r="P730" s="107"/>
      <c r="Q730" s="110"/>
      <c r="R730" s="110"/>
      <c r="S730" s="110"/>
      <c r="T730" s="104"/>
    </row>
    <row r="731" spans="1:20" s="19" customFormat="1" ht="37.5" x14ac:dyDescent="0.3">
      <c r="A731" s="136" t="s">
        <v>19</v>
      </c>
      <c r="B731" s="137" t="s">
        <v>503</v>
      </c>
      <c r="C731" s="138" t="s">
        <v>956</v>
      </c>
      <c r="D731" s="52"/>
      <c r="E731" s="138" t="s">
        <v>27</v>
      </c>
      <c r="F731" s="139" t="s">
        <v>52</v>
      </c>
      <c r="G731" s="138" t="s">
        <v>146</v>
      </c>
      <c r="H731" s="138" t="s">
        <v>21</v>
      </c>
      <c r="I731" s="140" t="s">
        <v>243</v>
      </c>
      <c r="J731" s="141"/>
      <c r="K731" s="142">
        <v>2</v>
      </c>
      <c r="L731" s="142">
        <f>K731</f>
        <v>2</v>
      </c>
      <c r="M731" s="52" t="s">
        <v>54</v>
      </c>
      <c r="N731" s="143">
        <f>10000/1111</f>
        <v>9.0009000900090008</v>
      </c>
      <c r="O731" s="143">
        <f>N731*L731</f>
        <v>18.001800180018002</v>
      </c>
      <c r="P731" s="144">
        <v>98000</v>
      </c>
      <c r="Q731" s="144">
        <f>+ROUND((L731*P731),-3)</f>
        <v>196000</v>
      </c>
      <c r="R731" s="145">
        <v>1</v>
      </c>
      <c r="S731" s="144">
        <f>+ROUND((Q731*R731),-3)</f>
        <v>196000</v>
      </c>
      <c r="T731" s="52" t="s">
        <v>394</v>
      </c>
    </row>
    <row r="732" spans="1:20" s="19" customFormat="1" ht="32.25" customHeight="1" x14ac:dyDescent="0.3">
      <c r="A732" s="239"/>
      <c r="B732" s="166" t="s">
        <v>55</v>
      </c>
      <c r="C732" s="166"/>
      <c r="D732" s="240"/>
      <c r="E732" s="159"/>
      <c r="F732" s="167"/>
      <c r="G732" s="167"/>
      <c r="H732" s="167"/>
      <c r="I732" s="168"/>
      <c r="J732" s="167"/>
      <c r="K732" s="167"/>
      <c r="L732" s="167"/>
      <c r="M732" s="167"/>
      <c r="N732" s="167"/>
      <c r="O732" s="167"/>
      <c r="P732" s="167"/>
      <c r="Q732" s="167"/>
      <c r="R732" s="45"/>
      <c r="S732" s="45">
        <f>S727+S731+S723</f>
        <v>3249000</v>
      </c>
      <c r="T732" s="185"/>
    </row>
    <row r="733" spans="1:20" s="19" customFormat="1" ht="33" customHeight="1" x14ac:dyDescent="0.3">
      <c r="A733" s="272" t="s">
        <v>56</v>
      </c>
      <c r="B733" s="273" t="s">
        <v>201</v>
      </c>
      <c r="C733" s="233"/>
      <c r="D733" s="233"/>
      <c r="E733" s="233"/>
      <c r="F733" s="233"/>
      <c r="G733" s="233"/>
      <c r="H733" s="233"/>
      <c r="I733" s="234"/>
      <c r="J733" s="233"/>
      <c r="K733" s="235"/>
      <c r="L733" s="235"/>
      <c r="M733" s="233"/>
      <c r="N733" s="235"/>
      <c r="O733" s="233"/>
      <c r="P733" s="236"/>
      <c r="Q733" s="233"/>
      <c r="R733" s="233"/>
      <c r="S733" s="237">
        <f>S757</f>
        <v>36575000</v>
      </c>
      <c r="T733" s="233"/>
    </row>
    <row r="734" spans="1:20" s="19" customFormat="1" ht="18.75" customHeight="1" x14ac:dyDescent="0.3">
      <c r="A734" s="765"/>
      <c r="B734" s="767" t="s">
        <v>51</v>
      </c>
      <c r="C734" s="767" t="s">
        <v>58</v>
      </c>
      <c r="D734" s="768" t="s">
        <v>59</v>
      </c>
      <c r="E734" s="769" t="s">
        <v>60</v>
      </c>
      <c r="F734" s="769" t="s">
        <v>61</v>
      </c>
      <c r="G734" s="769" t="s">
        <v>62</v>
      </c>
      <c r="H734" s="769" t="s">
        <v>63</v>
      </c>
      <c r="I734" s="770" t="s">
        <v>64</v>
      </c>
      <c r="J734" s="757"/>
      <c r="K734" s="757"/>
      <c r="L734" s="757"/>
      <c r="M734" s="758"/>
      <c r="N734" s="771" t="s">
        <v>3</v>
      </c>
      <c r="O734" s="771" t="s">
        <v>65</v>
      </c>
      <c r="P734" s="771" t="s">
        <v>66</v>
      </c>
      <c r="Q734" s="771" t="s">
        <v>67</v>
      </c>
      <c r="R734" s="767" t="s">
        <v>68</v>
      </c>
      <c r="S734" s="767" t="s">
        <v>69</v>
      </c>
      <c r="T734" s="767" t="s">
        <v>70</v>
      </c>
    </row>
    <row r="735" spans="1:20" s="19" customFormat="1" ht="18.75" customHeight="1" x14ac:dyDescent="0.3">
      <c r="A735" s="766"/>
      <c r="B735" s="766"/>
      <c r="C735" s="766"/>
      <c r="D735" s="766"/>
      <c r="E735" s="766"/>
      <c r="F735" s="766"/>
      <c r="G735" s="766"/>
      <c r="H735" s="766"/>
      <c r="I735" s="168" t="s">
        <v>71</v>
      </c>
      <c r="J735" s="159" t="s">
        <v>72</v>
      </c>
      <c r="K735" s="159" t="s">
        <v>73</v>
      </c>
      <c r="L735" s="45" t="s">
        <v>74</v>
      </c>
      <c r="M735" s="204" t="s">
        <v>75</v>
      </c>
      <c r="N735" s="766"/>
      <c r="O735" s="766"/>
      <c r="P735" s="766"/>
      <c r="Q735" s="766"/>
      <c r="R735" s="766"/>
      <c r="S735" s="766"/>
      <c r="T735" s="766"/>
    </row>
    <row r="736" spans="1:20" s="19" customFormat="1" ht="87.75" customHeight="1" x14ac:dyDescent="0.3">
      <c r="A736" s="196" t="s">
        <v>5</v>
      </c>
      <c r="B736" s="49" t="s">
        <v>76</v>
      </c>
      <c r="C736" s="49" t="s">
        <v>77</v>
      </c>
      <c r="D736" s="49" t="s">
        <v>78</v>
      </c>
      <c r="E736" s="159" t="s">
        <v>79</v>
      </c>
      <c r="F736" s="159" t="s">
        <v>80</v>
      </c>
      <c r="G736" s="159" t="s">
        <v>81</v>
      </c>
      <c r="H736" s="45" t="s">
        <v>82</v>
      </c>
      <c r="I736" s="168" t="s">
        <v>83</v>
      </c>
      <c r="J736" s="242" t="s">
        <v>84</v>
      </c>
      <c r="K736" s="242" t="s">
        <v>85</v>
      </c>
      <c r="L736" s="49" t="s">
        <v>86</v>
      </c>
      <c r="M736" s="204" t="s">
        <v>87</v>
      </c>
      <c r="N736" s="159" t="s">
        <v>88</v>
      </c>
      <c r="O736" s="159" t="s">
        <v>89</v>
      </c>
      <c r="P736" s="159" t="s">
        <v>90</v>
      </c>
      <c r="Q736" s="159" t="s">
        <v>91</v>
      </c>
      <c r="R736" s="159" t="s">
        <v>92</v>
      </c>
      <c r="S736" s="159" t="s">
        <v>964</v>
      </c>
      <c r="T736" s="159" t="s">
        <v>15</v>
      </c>
    </row>
    <row r="737" spans="1:20" s="19" customFormat="1" ht="43.5" customHeight="1" x14ac:dyDescent="0.3">
      <c r="A737" s="147"/>
      <c r="B737" s="146" t="s">
        <v>840</v>
      </c>
      <c r="C737" s="148"/>
      <c r="D737" s="147"/>
      <c r="E737" s="147"/>
      <c r="F737" s="147"/>
      <c r="G737" s="149"/>
      <c r="H737" s="149"/>
      <c r="I737" s="150"/>
      <c r="J737" s="149"/>
      <c r="K737" s="147"/>
      <c r="L737" s="151"/>
      <c r="M737" s="152"/>
      <c r="N737" s="152"/>
      <c r="O737" s="153"/>
      <c r="P737" s="151"/>
      <c r="Q737" s="154"/>
      <c r="R737" s="154"/>
      <c r="S737" s="154"/>
      <c r="T737" s="147"/>
    </row>
    <row r="738" spans="1:20" s="19" customFormat="1" ht="156.75" customHeight="1" x14ac:dyDescent="0.3">
      <c r="A738" s="625">
        <v>1</v>
      </c>
      <c r="B738" s="512" t="s">
        <v>160</v>
      </c>
      <c r="C738" s="512" t="s">
        <v>509</v>
      </c>
      <c r="D738" s="513" t="s">
        <v>241</v>
      </c>
      <c r="E738" s="514" t="s">
        <v>301</v>
      </c>
      <c r="F738" s="515"/>
      <c r="G738" s="656">
        <f>2023-E738</f>
        <v>6</v>
      </c>
      <c r="H738" s="657" t="s">
        <v>95</v>
      </c>
      <c r="I738" s="518">
        <f>5*4.9</f>
        <v>24.5</v>
      </c>
      <c r="J738" s="519" t="s">
        <v>96</v>
      </c>
      <c r="K738" s="626">
        <f t="shared" ref="K738:K756" si="80">+I738-J738</f>
        <v>24.5</v>
      </c>
      <c r="L738" s="520">
        <v>0.99199999999999999</v>
      </c>
      <c r="M738" s="521">
        <v>2418000</v>
      </c>
      <c r="N738" s="522">
        <v>0.3</v>
      </c>
      <c r="O738" s="521">
        <f>+M738</f>
        <v>2418000</v>
      </c>
      <c r="P738" s="523">
        <f t="shared" ref="P738:P756" si="81">+ROUND((K738*L738*O738*N738),-3)</f>
        <v>17630000</v>
      </c>
      <c r="Q738" s="521" t="s">
        <v>97</v>
      </c>
      <c r="R738" s="521" t="s">
        <v>97</v>
      </c>
      <c r="S738" s="523">
        <f t="shared" ref="S738:S756" si="82">P738</f>
        <v>17630000</v>
      </c>
      <c r="T738" s="517" t="s">
        <v>917</v>
      </c>
    </row>
    <row r="739" spans="1:20" s="19" customFormat="1" ht="81.75" customHeight="1" x14ac:dyDescent="0.3">
      <c r="A739" s="625" t="s">
        <v>101</v>
      </c>
      <c r="B739" s="512" t="s">
        <v>163</v>
      </c>
      <c r="C739" s="512" t="s">
        <v>510</v>
      </c>
      <c r="D739" s="513" t="s">
        <v>241</v>
      </c>
      <c r="E739" s="514" t="s">
        <v>454</v>
      </c>
      <c r="F739" s="515"/>
      <c r="G739" s="656">
        <f>2026-E739</f>
        <v>10</v>
      </c>
      <c r="H739" s="657" t="s">
        <v>95</v>
      </c>
      <c r="I739" s="518">
        <f>3.1*2.6</f>
        <v>8.06</v>
      </c>
      <c r="J739" s="519" t="s">
        <v>96</v>
      </c>
      <c r="K739" s="626">
        <f t="shared" si="80"/>
        <v>8.06</v>
      </c>
      <c r="L739" s="520">
        <v>0.99199999999999999</v>
      </c>
      <c r="M739" s="658">
        <f>(103000-248000)</f>
        <v>-145000</v>
      </c>
      <c r="N739" s="522">
        <v>0.3</v>
      </c>
      <c r="O739" s="658">
        <f>+M739</f>
        <v>-145000</v>
      </c>
      <c r="P739" s="659">
        <f t="shared" si="81"/>
        <v>-348000</v>
      </c>
      <c r="Q739" s="521" t="s">
        <v>97</v>
      </c>
      <c r="R739" s="521" t="s">
        <v>97</v>
      </c>
      <c r="S739" s="659">
        <f t="shared" si="82"/>
        <v>-348000</v>
      </c>
      <c r="T739" s="517" t="s">
        <v>386</v>
      </c>
    </row>
    <row r="740" spans="1:20" s="19" customFormat="1" ht="90.75" customHeight="1" x14ac:dyDescent="0.3">
      <c r="A740" s="625">
        <v>2</v>
      </c>
      <c r="B740" s="512" t="s">
        <v>214</v>
      </c>
      <c r="C740" s="512" t="s">
        <v>511</v>
      </c>
      <c r="D740" s="513" t="s">
        <v>241</v>
      </c>
      <c r="E740" s="514" t="s">
        <v>301</v>
      </c>
      <c r="F740" s="515"/>
      <c r="G740" s="656">
        <f t="shared" ref="G740:G756" si="83">2023-E740</f>
        <v>6</v>
      </c>
      <c r="H740" s="657" t="s">
        <v>95</v>
      </c>
      <c r="I740" s="518">
        <f>1.6*3</f>
        <v>4.8000000000000007</v>
      </c>
      <c r="J740" s="519" t="s">
        <v>96</v>
      </c>
      <c r="K740" s="626">
        <f t="shared" si="80"/>
        <v>4.8000000000000007</v>
      </c>
      <c r="L740" s="520">
        <v>0.99199999999999999</v>
      </c>
      <c r="M740" s="521">
        <v>103000</v>
      </c>
      <c r="N740" s="522">
        <v>0.3</v>
      </c>
      <c r="O740" s="521">
        <f>+M740</f>
        <v>103000</v>
      </c>
      <c r="P740" s="523">
        <f t="shared" si="81"/>
        <v>147000</v>
      </c>
      <c r="Q740" s="521" t="s">
        <v>97</v>
      </c>
      <c r="R740" s="521" t="s">
        <v>97</v>
      </c>
      <c r="S740" s="523">
        <f t="shared" si="82"/>
        <v>147000</v>
      </c>
      <c r="T740" s="517" t="s">
        <v>915</v>
      </c>
    </row>
    <row r="741" spans="1:20" s="19" customFormat="1" ht="156.75" customHeight="1" x14ac:dyDescent="0.3">
      <c r="A741" s="625">
        <v>3</v>
      </c>
      <c r="B741" s="512" t="s">
        <v>93</v>
      </c>
      <c r="C741" s="512" t="s">
        <v>947</v>
      </c>
      <c r="D741" s="514" t="s">
        <v>241</v>
      </c>
      <c r="E741" s="514" t="s">
        <v>301</v>
      </c>
      <c r="F741" s="515"/>
      <c r="G741" s="656">
        <f t="shared" si="83"/>
        <v>6</v>
      </c>
      <c r="H741" s="657" t="s">
        <v>95</v>
      </c>
      <c r="I741" s="518">
        <f>(0.2+1.2)*8.6</f>
        <v>12.04</v>
      </c>
      <c r="J741" s="519" t="s">
        <v>96</v>
      </c>
      <c r="K741" s="517">
        <f t="shared" si="80"/>
        <v>12.04</v>
      </c>
      <c r="L741" s="520">
        <v>0.99199999999999999</v>
      </c>
      <c r="M741" s="521">
        <v>1323000</v>
      </c>
      <c r="N741" s="522">
        <v>0.3</v>
      </c>
      <c r="O741" s="521">
        <f>+M741*90%</f>
        <v>1190700</v>
      </c>
      <c r="P741" s="523">
        <f t="shared" si="81"/>
        <v>4266000</v>
      </c>
      <c r="Q741" s="521" t="s">
        <v>97</v>
      </c>
      <c r="R741" s="521" t="s">
        <v>97</v>
      </c>
      <c r="S741" s="523">
        <f t="shared" si="82"/>
        <v>4266000</v>
      </c>
      <c r="T741" s="517" t="s">
        <v>1057</v>
      </c>
    </row>
    <row r="742" spans="1:20" s="19" customFormat="1" ht="156.75" customHeight="1" x14ac:dyDescent="0.3">
      <c r="A742" s="625" t="s">
        <v>101</v>
      </c>
      <c r="B742" s="512" t="s">
        <v>102</v>
      </c>
      <c r="C742" s="512" t="s">
        <v>946</v>
      </c>
      <c r="D742" s="514" t="s">
        <v>217</v>
      </c>
      <c r="E742" s="514" t="s">
        <v>301</v>
      </c>
      <c r="F742" s="515"/>
      <c r="G742" s="656">
        <f t="shared" si="83"/>
        <v>6</v>
      </c>
      <c r="H742" s="657" t="s">
        <v>95</v>
      </c>
      <c r="I742" s="518">
        <f>(0.2*0.2)*8.6</f>
        <v>0.34400000000000003</v>
      </c>
      <c r="J742" s="519" t="s">
        <v>96</v>
      </c>
      <c r="K742" s="626">
        <f t="shared" si="80"/>
        <v>0.34400000000000003</v>
      </c>
      <c r="L742" s="520">
        <v>0.99199999999999999</v>
      </c>
      <c r="M742" s="521">
        <v>1323000</v>
      </c>
      <c r="N742" s="522">
        <v>0.3</v>
      </c>
      <c r="O742" s="521">
        <v>1961000</v>
      </c>
      <c r="P742" s="523">
        <f t="shared" si="81"/>
        <v>201000</v>
      </c>
      <c r="Q742" s="521" t="s">
        <v>97</v>
      </c>
      <c r="R742" s="521" t="s">
        <v>97</v>
      </c>
      <c r="S742" s="523">
        <f t="shared" si="82"/>
        <v>201000</v>
      </c>
      <c r="T742" s="517" t="s">
        <v>918</v>
      </c>
    </row>
    <row r="743" spans="1:20" s="19" customFormat="1" ht="43.5" customHeight="1" x14ac:dyDescent="0.3">
      <c r="A743" s="147"/>
      <c r="B743" s="146" t="s">
        <v>841</v>
      </c>
      <c r="C743" s="148"/>
      <c r="D743" s="147"/>
      <c r="E743" s="147"/>
      <c r="F743" s="147"/>
      <c r="G743" s="149"/>
      <c r="H743" s="149"/>
      <c r="I743" s="150"/>
      <c r="J743" s="149"/>
      <c r="K743" s="147"/>
      <c r="L743" s="151"/>
      <c r="M743" s="152"/>
      <c r="N743" s="152"/>
      <c r="O743" s="153"/>
      <c r="P743" s="151"/>
      <c r="Q743" s="154"/>
      <c r="R743" s="154"/>
      <c r="S743" s="154"/>
      <c r="T743" s="147"/>
    </row>
    <row r="744" spans="1:20" s="19" customFormat="1" ht="101.25" customHeight="1" x14ac:dyDescent="0.3">
      <c r="A744" s="625">
        <v>1</v>
      </c>
      <c r="B744" s="512" t="s">
        <v>214</v>
      </c>
      <c r="C744" s="512" t="s">
        <v>846</v>
      </c>
      <c r="D744" s="513" t="s">
        <v>241</v>
      </c>
      <c r="E744" s="514" t="s">
        <v>301</v>
      </c>
      <c r="F744" s="515"/>
      <c r="G744" s="656">
        <f t="shared" si="83"/>
        <v>6</v>
      </c>
      <c r="H744" s="657" t="s">
        <v>95</v>
      </c>
      <c r="I744" s="518">
        <f>1.4*7</f>
        <v>9.7999999999999989</v>
      </c>
      <c r="J744" s="519" t="s">
        <v>96</v>
      </c>
      <c r="K744" s="626">
        <f t="shared" si="80"/>
        <v>9.7999999999999989</v>
      </c>
      <c r="L744" s="520">
        <v>0.99199999999999999</v>
      </c>
      <c r="M744" s="521">
        <v>268000</v>
      </c>
      <c r="N744" s="522">
        <v>0.3</v>
      </c>
      <c r="O744" s="521">
        <f>+M744</f>
        <v>268000</v>
      </c>
      <c r="P744" s="523">
        <f t="shared" si="81"/>
        <v>782000</v>
      </c>
      <c r="Q744" s="521" t="s">
        <v>97</v>
      </c>
      <c r="R744" s="521" t="s">
        <v>97</v>
      </c>
      <c r="S744" s="523">
        <f t="shared" si="82"/>
        <v>782000</v>
      </c>
      <c r="T744" s="517" t="s">
        <v>908</v>
      </c>
    </row>
    <row r="745" spans="1:20" s="19" customFormat="1" ht="101.25" customHeight="1" x14ac:dyDescent="0.3">
      <c r="A745" s="625">
        <v>2</v>
      </c>
      <c r="B745" s="512" t="s">
        <v>845</v>
      </c>
      <c r="C745" s="512" t="s">
        <v>847</v>
      </c>
      <c r="D745" s="513" t="s">
        <v>241</v>
      </c>
      <c r="E745" s="514" t="s">
        <v>301</v>
      </c>
      <c r="F745" s="515"/>
      <c r="G745" s="656">
        <f t="shared" si="83"/>
        <v>6</v>
      </c>
      <c r="H745" s="657" t="s">
        <v>95</v>
      </c>
      <c r="I745" s="518">
        <f>0.2*7</f>
        <v>1.4000000000000001</v>
      </c>
      <c r="J745" s="519" t="s">
        <v>96</v>
      </c>
      <c r="K745" s="626">
        <f t="shared" si="80"/>
        <v>1.4000000000000001</v>
      </c>
      <c r="L745" s="520">
        <v>0.99199999999999999</v>
      </c>
      <c r="M745" s="521">
        <v>268000</v>
      </c>
      <c r="N745" s="522">
        <v>0.2</v>
      </c>
      <c r="O745" s="521">
        <f>+M745</f>
        <v>268000</v>
      </c>
      <c r="P745" s="523">
        <f t="shared" si="81"/>
        <v>74000</v>
      </c>
      <c r="Q745" s="521" t="s">
        <v>97</v>
      </c>
      <c r="R745" s="521" t="s">
        <v>97</v>
      </c>
      <c r="S745" s="523">
        <f t="shared" si="82"/>
        <v>74000</v>
      </c>
      <c r="T745" s="517" t="s">
        <v>869</v>
      </c>
    </row>
    <row r="746" spans="1:20" s="19" customFormat="1" ht="64.5" customHeight="1" x14ac:dyDescent="0.3">
      <c r="A746" s="625">
        <v>3</v>
      </c>
      <c r="B746" s="512" t="s">
        <v>99</v>
      </c>
      <c r="C746" s="512" t="s">
        <v>512</v>
      </c>
      <c r="D746" s="513" t="s">
        <v>217</v>
      </c>
      <c r="E746" s="514" t="s">
        <v>301</v>
      </c>
      <c r="F746" s="515"/>
      <c r="G746" s="656">
        <f t="shared" si="83"/>
        <v>6</v>
      </c>
      <c r="H746" s="657" t="s">
        <v>95</v>
      </c>
      <c r="I746" s="518">
        <f>(0.4*0.4*2.1)*2</f>
        <v>0.67200000000000015</v>
      </c>
      <c r="J746" s="519" t="s">
        <v>96</v>
      </c>
      <c r="K746" s="626">
        <f t="shared" si="80"/>
        <v>0.67200000000000015</v>
      </c>
      <c r="L746" s="520">
        <v>0.99199999999999999</v>
      </c>
      <c r="M746" s="521">
        <v>2556000</v>
      </c>
      <c r="N746" s="522">
        <v>0.6</v>
      </c>
      <c r="O746" s="521">
        <f>+M746</f>
        <v>2556000</v>
      </c>
      <c r="P746" s="523">
        <f t="shared" si="81"/>
        <v>1022000</v>
      </c>
      <c r="Q746" s="521" t="s">
        <v>97</v>
      </c>
      <c r="R746" s="521" t="s">
        <v>97</v>
      </c>
      <c r="S746" s="523">
        <f t="shared" si="82"/>
        <v>1022000</v>
      </c>
      <c r="T746" s="517" t="s">
        <v>169</v>
      </c>
    </row>
    <row r="747" spans="1:20" s="19" customFormat="1" ht="36" customHeight="1" x14ac:dyDescent="0.3">
      <c r="A747" s="625">
        <v>4</v>
      </c>
      <c r="B747" s="512" t="s">
        <v>105</v>
      </c>
      <c r="C747" s="512" t="s">
        <v>513</v>
      </c>
      <c r="D747" s="513" t="s">
        <v>241</v>
      </c>
      <c r="E747" s="514" t="s">
        <v>301</v>
      </c>
      <c r="F747" s="515"/>
      <c r="G747" s="656">
        <f t="shared" si="83"/>
        <v>6</v>
      </c>
      <c r="H747" s="657" t="s">
        <v>95</v>
      </c>
      <c r="I747" s="518">
        <f>1.7*3</f>
        <v>5.0999999999999996</v>
      </c>
      <c r="J747" s="519" t="s">
        <v>96</v>
      </c>
      <c r="K747" s="626">
        <f t="shared" si="80"/>
        <v>5.0999999999999996</v>
      </c>
      <c r="L747" s="520">
        <v>0.99199999999999999</v>
      </c>
      <c r="M747" s="521">
        <v>835000</v>
      </c>
      <c r="N747" s="522">
        <v>0.6</v>
      </c>
      <c r="O747" s="521">
        <f>+M747</f>
        <v>835000</v>
      </c>
      <c r="P747" s="523">
        <f t="shared" si="81"/>
        <v>2535000</v>
      </c>
      <c r="Q747" s="521" t="s">
        <v>97</v>
      </c>
      <c r="R747" s="521" t="s">
        <v>97</v>
      </c>
      <c r="S747" s="523">
        <f t="shared" si="82"/>
        <v>2535000</v>
      </c>
      <c r="T747" s="517" t="s">
        <v>174</v>
      </c>
    </row>
    <row r="748" spans="1:20" s="19" customFormat="1" ht="182.25" customHeight="1" x14ac:dyDescent="0.3">
      <c r="A748" s="625">
        <v>5</v>
      </c>
      <c r="B748" s="512" t="s">
        <v>93</v>
      </c>
      <c r="C748" s="512" t="s">
        <v>1063</v>
      </c>
      <c r="D748" s="513" t="s">
        <v>241</v>
      </c>
      <c r="E748" s="514" t="s">
        <v>301</v>
      </c>
      <c r="F748" s="515"/>
      <c r="G748" s="656">
        <f t="shared" si="83"/>
        <v>6</v>
      </c>
      <c r="H748" s="657" t="s">
        <v>95</v>
      </c>
      <c r="I748" s="518">
        <f>1.5*1.4</f>
        <v>2.0999999999999996</v>
      </c>
      <c r="J748" s="519" t="s">
        <v>96</v>
      </c>
      <c r="K748" s="517">
        <f t="shared" si="80"/>
        <v>2.0999999999999996</v>
      </c>
      <c r="L748" s="520">
        <v>0.99199999999999999</v>
      </c>
      <c r="M748" s="521">
        <v>1487000</v>
      </c>
      <c r="N748" s="522">
        <v>0.3</v>
      </c>
      <c r="O748" s="521">
        <f>+M748*80%*90%</f>
        <v>1070640</v>
      </c>
      <c r="P748" s="523">
        <f t="shared" si="81"/>
        <v>669000</v>
      </c>
      <c r="Q748" s="521" t="s">
        <v>97</v>
      </c>
      <c r="R748" s="521" t="s">
        <v>97</v>
      </c>
      <c r="S748" s="523">
        <f t="shared" si="82"/>
        <v>669000</v>
      </c>
      <c r="T748" s="517" t="s">
        <v>992</v>
      </c>
    </row>
    <row r="749" spans="1:20" s="19" customFormat="1" ht="99" customHeight="1" x14ac:dyDescent="0.3">
      <c r="A749" s="625">
        <v>6</v>
      </c>
      <c r="B749" s="512" t="s">
        <v>99</v>
      </c>
      <c r="C749" s="512" t="s">
        <v>514</v>
      </c>
      <c r="D749" s="513" t="s">
        <v>217</v>
      </c>
      <c r="E749" s="514" t="s">
        <v>301</v>
      </c>
      <c r="F749" s="515"/>
      <c r="G749" s="656">
        <f t="shared" si="83"/>
        <v>6</v>
      </c>
      <c r="H749" s="657" t="s">
        <v>95</v>
      </c>
      <c r="I749" s="518">
        <f>(0.3*0.3*1.85)</f>
        <v>0.16650000000000001</v>
      </c>
      <c r="J749" s="519" t="s">
        <v>96</v>
      </c>
      <c r="K749" s="626">
        <f t="shared" si="80"/>
        <v>0.16650000000000001</v>
      </c>
      <c r="L749" s="520">
        <v>0.99199999999999999</v>
      </c>
      <c r="M749" s="521">
        <v>2556000</v>
      </c>
      <c r="N749" s="522">
        <v>0.3</v>
      </c>
      <c r="O749" s="521">
        <f t="shared" ref="O749:O756" si="84">+M749</f>
        <v>2556000</v>
      </c>
      <c r="P749" s="523">
        <f t="shared" si="81"/>
        <v>127000</v>
      </c>
      <c r="Q749" s="521" t="s">
        <v>97</v>
      </c>
      <c r="R749" s="521" t="s">
        <v>97</v>
      </c>
      <c r="S749" s="523">
        <f t="shared" si="82"/>
        <v>127000</v>
      </c>
      <c r="T749" s="517" t="s">
        <v>916</v>
      </c>
    </row>
    <row r="750" spans="1:20" s="19" customFormat="1" ht="99" customHeight="1" x14ac:dyDescent="0.3">
      <c r="A750" s="625">
        <v>7</v>
      </c>
      <c r="B750" s="512" t="s">
        <v>105</v>
      </c>
      <c r="C750" s="512" t="s">
        <v>515</v>
      </c>
      <c r="D750" s="513" t="s">
        <v>241</v>
      </c>
      <c r="E750" s="514" t="s">
        <v>301</v>
      </c>
      <c r="F750" s="515"/>
      <c r="G750" s="656">
        <f t="shared" si="83"/>
        <v>6</v>
      </c>
      <c r="H750" s="657" t="s">
        <v>95</v>
      </c>
      <c r="I750" s="518">
        <f>1.35*1.85</f>
        <v>2.4975000000000005</v>
      </c>
      <c r="J750" s="519" t="s">
        <v>96</v>
      </c>
      <c r="K750" s="626">
        <f t="shared" si="80"/>
        <v>2.4975000000000005</v>
      </c>
      <c r="L750" s="520">
        <v>0.99199999999999999</v>
      </c>
      <c r="M750" s="521">
        <v>835000</v>
      </c>
      <c r="N750" s="522">
        <v>0.3</v>
      </c>
      <c r="O750" s="521">
        <f t="shared" si="84"/>
        <v>835000</v>
      </c>
      <c r="P750" s="523">
        <f t="shared" si="81"/>
        <v>621000</v>
      </c>
      <c r="Q750" s="521" t="s">
        <v>97</v>
      </c>
      <c r="R750" s="521" t="s">
        <v>97</v>
      </c>
      <c r="S750" s="523">
        <f t="shared" si="82"/>
        <v>621000</v>
      </c>
      <c r="T750" s="517" t="s">
        <v>911</v>
      </c>
    </row>
    <row r="751" spans="1:20" s="19" customFormat="1" ht="99" customHeight="1" x14ac:dyDescent="0.3">
      <c r="A751" s="625">
        <v>8</v>
      </c>
      <c r="B751" s="512" t="s">
        <v>120</v>
      </c>
      <c r="C751" s="512" t="s">
        <v>516</v>
      </c>
      <c r="D751" s="513" t="s">
        <v>241</v>
      </c>
      <c r="E751" s="514" t="s">
        <v>301</v>
      </c>
      <c r="F751" s="515"/>
      <c r="G751" s="656">
        <f t="shared" si="83"/>
        <v>6</v>
      </c>
      <c r="H751" s="657" t="s">
        <v>95</v>
      </c>
      <c r="I751" s="518">
        <f>5*5.1</f>
        <v>25.5</v>
      </c>
      <c r="J751" s="519" t="s">
        <v>96</v>
      </c>
      <c r="K751" s="626">
        <f t="shared" si="80"/>
        <v>25.5</v>
      </c>
      <c r="L751" s="520">
        <v>0.99199999999999999</v>
      </c>
      <c r="M751" s="521">
        <v>249000</v>
      </c>
      <c r="N751" s="522">
        <v>0.3</v>
      </c>
      <c r="O751" s="521">
        <f t="shared" si="84"/>
        <v>249000</v>
      </c>
      <c r="P751" s="523">
        <f t="shared" si="81"/>
        <v>1890000</v>
      </c>
      <c r="Q751" s="521" t="s">
        <v>97</v>
      </c>
      <c r="R751" s="521" t="s">
        <v>97</v>
      </c>
      <c r="S751" s="523">
        <f t="shared" si="82"/>
        <v>1890000</v>
      </c>
      <c r="T751" s="517" t="s">
        <v>1035</v>
      </c>
    </row>
    <row r="752" spans="1:20" s="19" customFormat="1" ht="99" customHeight="1" x14ac:dyDescent="0.3">
      <c r="A752" s="625">
        <v>9</v>
      </c>
      <c r="B752" s="512" t="s">
        <v>113</v>
      </c>
      <c r="C752" s="512" t="s">
        <v>517</v>
      </c>
      <c r="D752" s="513" t="s">
        <v>241</v>
      </c>
      <c r="E752" s="514" t="s">
        <v>301</v>
      </c>
      <c r="F752" s="515"/>
      <c r="G752" s="656">
        <f t="shared" si="83"/>
        <v>6</v>
      </c>
      <c r="H752" s="657" t="s">
        <v>95</v>
      </c>
      <c r="I752" s="518">
        <f>5.1*5.5</f>
        <v>28.049999999999997</v>
      </c>
      <c r="J752" s="519" t="s">
        <v>96</v>
      </c>
      <c r="K752" s="626">
        <f t="shared" si="80"/>
        <v>28.049999999999997</v>
      </c>
      <c r="L752" s="520">
        <v>0.99199999999999999</v>
      </c>
      <c r="M752" s="521">
        <v>418000</v>
      </c>
      <c r="N752" s="522">
        <v>0.3</v>
      </c>
      <c r="O752" s="521">
        <f t="shared" si="84"/>
        <v>418000</v>
      </c>
      <c r="P752" s="523">
        <f t="shared" si="81"/>
        <v>3489000</v>
      </c>
      <c r="Q752" s="521" t="s">
        <v>97</v>
      </c>
      <c r="R752" s="521" t="s">
        <v>97</v>
      </c>
      <c r="S752" s="523">
        <f t="shared" si="82"/>
        <v>3489000</v>
      </c>
      <c r="T752" s="517" t="s">
        <v>919</v>
      </c>
    </row>
    <row r="753" spans="1:20" s="19" customFormat="1" ht="99" customHeight="1" x14ac:dyDescent="0.3">
      <c r="A753" s="625">
        <v>10</v>
      </c>
      <c r="B753" s="512" t="s">
        <v>342</v>
      </c>
      <c r="C753" s="512" t="s">
        <v>518</v>
      </c>
      <c r="D753" s="514" t="s">
        <v>178</v>
      </c>
      <c r="E753" s="514" t="s">
        <v>301</v>
      </c>
      <c r="F753" s="515"/>
      <c r="G753" s="656">
        <f t="shared" si="83"/>
        <v>6</v>
      </c>
      <c r="H753" s="657" t="s">
        <v>95</v>
      </c>
      <c r="I753" s="518">
        <v>2.8</v>
      </c>
      <c r="J753" s="519" t="s">
        <v>96</v>
      </c>
      <c r="K753" s="626">
        <f t="shared" si="80"/>
        <v>2.8</v>
      </c>
      <c r="L753" s="520">
        <v>0.99199999999999999</v>
      </c>
      <c r="M753" s="521">
        <v>821000</v>
      </c>
      <c r="N753" s="522">
        <v>0.3</v>
      </c>
      <c r="O753" s="521">
        <f t="shared" si="84"/>
        <v>821000</v>
      </c>
      <c r="P753" s="523">
        <f t="shared" si="81"/>
        <v>684000</v>
      </c>
      <c r="Q753" s="521" t="s">
        <v>97</v>
      </c>
      <c r="R753" s="521" t="s">
        <v>97</v>
      </c>
      <c r="S753" s="523">
        <f t="shared" si="82"/>
        <v>684000</v>
      </c>
      <c r="T753" s="517" t="s">
        <v>920</v>
      </c>
    </row>
    <row r="754" spans="1:20" s="19" customFormat="1" ht="99" customHeight="1" x14ac:dyDescent="0.3">
      <c r="A754" s="625">
        <v>11</v>
      </c>
      <c r="B754" s="512" t="s">
        <v>111</v>
      </c>
      <c r="C754" s="512" t="s">
        <v>1064</v>
      </c>
      <c r="D754" s="513" t="s">
        <v>241</v>
      </c>
      <c r="E754" s="514" t="s">
        <v>301</v>
      </c>
      <c r="F754" s="515"/>
      <c r="G754" s="656">
        <f t="shared" si="83"/>
        <v>6</v>
      </c>
      <c r="H754" s="657" t="s">
        <v>95</v>
      </c>
      <c r="I754" s="518">
        <f>1.4*5.2</f>
        <v>7.2799999999999994</v>
      </c>
      <c r="J754" s="519" t="s">
        <v>96</v>
      </c>
      <c r="K754" s="517">
        <f t="shared" si="80"/>
        <v>7.2799999999999994</v>
      </c>
      <c r="L754" s="520">
        <v>0.99199999999999999</v>
      </c>
      <c r="M754" s="521">
        <v>1400000</v>
      </c>
      <c r="N754" s="522">
        <v>0.3</v>
      </c>
      <c r="O754" s="521">
        <f>+M754*80%*90%</f>
        <v>1008000</v>
      </c>
      <c r="P754" s="523">
        <f t="shared" si="81"/>
        <v>2184000</v>
      </c>
      <c r="Q754" s="521" t="s">
        <v>97</v>
      </c>
      <c r="R754" s="521" t="s">
        <v>97</v>
      </c>
      <c r="S754" s="523">
        <f t="shared" si="82"/>
        <v>2184000</v>
      </c>
      <c r="T754" s="517" t="s">
        <v>998</v>
      </c>
    </row>
    <row r="755" spans="1:20" s="19" customFormat="1" ht="99" customHeight="1" x14ac:dyDescent="0.3">
      <c r="A755" s="669" t="s">
        <v>101</v>
      </c>
      <c r="B755" s="512" t="s">
        <v>102</v>
      </c>
      <c r="C755" s="512" t="s">
        <v>1065</v>
      </c>
      <c r="D755" s="513" t="s">
        <v>217</v>
      </c>
      <c r="E755" s="514" t="s">
        <v>301</v>
      </c>
      <c r="F755" s="515"/>
      <c r="G755" s="656">
        <f t="shared" si="83"/>
        <v>6</v>
      </c>
      <c r="H755" s="657" t="s">
        <v>95</v>
      </c>
      <c r="I755" s="518">
        <f>0.3*0.3*5.2</f>
        <v>0.46799999999999997</v>
      </c>
      <c r="J755" s="519" t="s">
        <v>96</v>
      </c>
      <c r="K755" s="626">
        <f t="shared" si="80"/>
        <v>0.46799999999999997</v>
      </c>
      <c r="L755" s="520">
        <v>0.99199999999999999</v>
      </c>
      <c r="M755" s="521">
        <v>1961000</v>
      </c>
      <c r="N755" s="522">
        <v>0.3</v>
      </c>
      <c r="O755" s="521">
        <f t="shared" si="84"/>
        <v>1961000</v>
      </c>
      <c r="P755" s="523">
        <f t="shared" si="81"/>
        <v>273000</v>
      </c>
      <c r="Q755" s="521" t="s">
        <v>97</v>
      </c>
      <c r="R755" s="521" t="s">
        <v>97</v>
      </c>
      <c r="S755" s="523">
        <f t="shared" si="82"/>
        <v>273000</v>
      </c>
      <c r="T755" s="517" t="s">
        <v>1066</v>
      </c>
    </row>
    <row r="756" spans="1:20" s="19" customFormat="1" ht="99" customHeight="1" x14ac:dyDescent="0.3">
      <c r="A756" s="625">
        <v>13</v>
      </c>
      <c r="B756" s="512" t="s">
        <v>93</v>
      </c>
      <c r="C756" s="512" t="s">
        <v>519</v>
      </c>
      <c r="D756" s="513" t="s">
        <v>241</v>
      </c>
      <c r="E756" s="514" t="s">
        <v>301</v>
      </c>
      <c r="F756" s="515"/>
      <c r="G756" s="656">
        <f t="shared" si="83"/>
        <v>6</v>
      </c>
      <c r="H756" s="657" t="s">
        <v>95</v>
      </c>
      <c r="I756" s="518">
        <f>1.5*5.5</f>
        <v>8.25</v>
      </c>
      <c r="J756" s="519" t="s">
        <v>96</v>
      </c>
      <c r="K756" s="517">
        <f t="shared" si="80"/>
        <v>8.25</v>
      </c>
      <c r="L756" s="520">
        <v>0.99199999999999999</v>
      </c>
      <c r="M756" s="521">
        <v>134000</v>
      </c>
      <c r="N756" s="522">
        <v>0.3</v>
      </c>
      <c r="O756" s="521">
        <f t="shared" si="84"/>
        <v>134000</v>
      </c>
      <c r="P756" s="523">
        <f t="shared" si="81"/>
        <v>329000</v>
      </c>
      <c r="Q756" s="521" t="s">
        <v>97</v>
      </c>
      <c r="R756" s="521" t="s">
        <v>97</v>
      </c>
      <c r="S756" s="523">
        <f t="shared" si="82"/>
        <v>329000</v>
      </c>
      <c r="T756" s="517" t="s">
        <v>1026</v>
      </c>
    </row>
    <row r="757" spans="1:20" ht="53.25" customHeight="1" x14ac:dyDescent="0.3">
      <c r="A757" s="165"/>
      <c r="B757" s="166" t="s">
        <v>55</v>
      </c>
      <c r="C757" s="166"/>
      <c r="D757" s="159"/>
      <c r="E757" s="159"/>
      <c r="F757" s="167"/>
      <c r="G757" s="167"/>
      <c r="H757" s="167"/>
      <c r="I757" s="168"/>
      <c r="J757" s="168"/>
      <c r="K757" s="168"/>
      <c r="L757" s="45"/>
      <c r="M757" s="169"/>
      <c r="N757" s="170"/>
      <c r="O757" s="167"/>
      <c r="P757" s="45"/>
      <c r="Q757" s="45"/>
      <c r="R757" s="45"/>
      <c r="S757" s="45">
        <f>SUM(S738:S756)</f>
        <v>36575000</v>
      </c>
      <c r="T757" s="167"/>
    </row>
    <row r="758" spans="1:20" s="19" customFormat="1" ht="18.75" customHeight="1" x14ac:dyDescent="0.3">
      <c r="A758" s="171" t="s">
        <v>131</v>
      </c>
      <c r="B758" s="172" t="s">
        <v>132</v>
      </c>
      <c r="C758" s="173"/>
      <c r="D758" s="466"/>
      <c r="E758" s="466"/>
      <c r="F758" s="466"/>
      <c r="G758" s="466"/>
      <c r="H758" s="466"/>
      <c r="I758" s="467"/>
      <c r="J758" s="466"/>
      <c r="K758" s="468"/>
      <c r="L758" s="468"/>
      <c r="M758" s="466"/>
      <c r="N758" s="468"/>
      <c r="O758" s="466"/>
      <c r="P758" s="469"/>
      <c r="Q758" s="466"/>
      <c r="R758" s="466"/>
      <c r="S758" s="470"/>
      <c r="T758" s="466"/>
    </row>
    <row r="759" spans="1:20" s="19" customFormat="1" ht="18.75" customHeight="1" x14ac:dyDescent="0.3">
      <c r="A759" s="171" t="s">
        <v>133</v>
      </c>
      <c r="B759" s="172" t="s">
        <v>134</v>
      </c>
      <c r="C759" s="174"/>
      <c r="D759" s="174"/>
      <c r="E759" s="174"/>
      <c r="F759" s="174"/>
      <c r="G759" s="174"/>
      <c r="H759" s="174"/>
      <c r="I759" s="175"/>
      <c r="J759" s="174"/>
      <c r="K759" s="176"/>
      <c r="L759" s="176"/>
      <c r="M759" s="174"/>
      <c r="N759" s="176"/>
      <c r="O759" s="174"/>
      <c r="P759" s="177"/>
      <c r="Q759" s="174"/>
      <c r="R759" s="174"/>
      <c r="S759" s="174"/>
      <c r="T759" s="174"/>
    </row>
    <row r="760" spans="1:20" s="19" customFormat="1" ht="40.5" customHeight="1" x14ac:dyDescent="0.3">
      <c r="A760" s="178" t="s">
        <v>135</v>
      </c>
      <c r="B760" s="756" t="s">
        <v>520</v>
      </c>
      <c r="C760" s="757"/>
      <c r="D760" s="757"/>
      <c r="E760" s="757"/>
      <c r="F760" s="757"/>
      <c r="G760" s="757"/>
      <c r="H760" s="757"/>
      <c r="I760" s="757"/>
      <c r="J760" s="757"/>
      <c r="K760" s="757"/>
      <c r="L760" s="757"/>
      <c r="M760" s="757"/>
      <c r="N760" s="757"/>
      <c r="O760" s="757"/>
      <c r="P760" s="757"/>
      <c r="Q760" s="757"/>
      <c r="R760" s="757"/>
      <c r="S760" s="29">
        <f>+S757+S732</f>
        <v>39824000</v>
      </c>
      <c r="T760" s="174" t="s">
        <v>137</v>
      </c>
    </row>
    <row r="761" spans="1:20" ht="26.25" customHeight="1" x14ac:dyDescent="0.3">
      <c r="A761" s="474"/>
      <c r="B761" s="829" t="s">
        <v>521</v>
      </c>
      <c r="C761" s="773"/>
      <c r="D761" s="773"/>
      <c r="E761" s="773"/>
      <c r="F761" s="773"/>
      <c r="G761" s="773"/>
      <c r="H761" s="773"/>
      <c r="I761" s="773"/>
      <c r="J761" s="773"/>
      <c r="K761" s="773"/>
      <c r="L761" s="773"/>
      <c r="M761" s="773"/>
      <c r="N761" s="773"/>
      <c r="O761" s="773"/>
      <c r="P761" s="773"/>
      <c r="Q761" s="773"/>
      <c r="R761" s="773"/>
      <c r="S761" s="773"/>
      <c r="T761" s="474"/>
    </row>
    <row r="762" spans="1:20" ht="18.75" customHeight="1" x14ac:dyDescent="0.3">
      <c r="A762" s="474"/>
      <c r="B762" s="772" t="s">
        <v>1</v>
      </c>
      <c r="C762" s="773"/>
      <c r="D762" s="773"/>
      <c r="E762" s="773"/>
      <c r="F762" s="773"/>
      <c r="G762" s="773"/>
      <c r="H762" s="773"/>
      <c r="I762" s="773"/>
      <c r="J762" s="773"/>
      <c r="K762" s="773"/>
      <c r="L762" s="773"/>
      <c r="M762" s="773"/>
      <c r="N762" s="773"/>
      <c r="O762" s="773"/>
      <c r="P762" s="773"/>
      <c r="Q762" s="773"/>
      <c r="R762" s="773"/>
      <c r="S762" s="773"/>
      <c r="T762" s="474"/>
    </row>
    <row r="763" spans="1:20" ht="18.75" customHeight="1" x14ac:dyDescent="0.3">
      <c r="A763" s="474"/>
      <c r="B763" s="772" t="s">
        <v>2</v>
      </c>
      <c r="C763" s="773"/>
      <c r="D763" s="773"/>
      <c r="E763" s="773"/>
      <c r="F763" s="773"/>
      <c r="G763" s="773"/>
      <c r="H763" s="773"/>
      <c r="I763" s="773"/>
      <c r="J763" s="773"/>
      <c r="K763" s="773"/>
      <c r="L763" s="773"/>
      <c r="M763" s="773"/>
      <c r="N763" s="773"/>
      <c r="O763" s="773"/>
      <c r="P763" s="773"/>
      <c r="Q763" s="773"/>
      <c r="R763" s="773"/>
      <c r="S763" s="773"/>
      <c r="T763" s="474"/>
    </row>
    <row r="764" spans="1:20" ht="18.75" customHeight="1" x14ac:dyDescent="0.3">
      <c r="A764" s="475"/>
      <c r="B764" s="809" t="str">
        <f>B708</f>
        <v>(Kèm theo Quyết định số     /QĐ-UBND ngày     tháng     năm 2026 của Ủy ban nhân dân xã Thuận An)</v>
      </c>
      <c r="C764" s="773"/>
      <c r="D764" s="773"/>
      <c r="E764" s="773"/>
      <c r="F764" s="773"/>
      <c r="G764" s="773"/>
      <c r="H764" s="773"/>
      <c r="I764" s="773"/>
      <c r="J764" s="773"/>
      <c r="K764" s="773"/>
      <c r="L764" s="773"/>
      <c r="M764" s="773"/>
      <c r="N764" s="773"/>
      <c r="O764" s="773"/>
      <c r="P764" s="773"/>
      <c r="Q764" s="773"/>
      <c r="R764" s="773"/>
      <c r="S764" s="773"/>
      <c r="T764" s="475"/>
    </row>
    <row r="765" spans="1:20" s="19" customFormat="1" ht="36" customHeight="1" thickBot="1" x14ac:dyDescent="0.35">
      <c r="A765" s="272" t="s">
        <v>3</v>
      </c>
      <c r="B765" s="273" t="s">
        <v>4</v>
      </c>
      <c r="C765" s="233"/>
      <c r="D765" s="233"/>
      <c r="E765" s="233"/>
      <c r="F765" s="233"/>
      <c r="G765" s="233"/>
      <c r="H765" s="233"/>
      <c r="I765" s="234"/>
      <c r="J765" s="233"/>
      <c r="K765" s="235"/>
      <c r="L765" s="235"/>
      <c r="M765" s="233"/>
      <c r="N765" s="235"/>
      <c r="O765" s="233"/>
      <c r="P765" s="236"/>
      <c r="Q765" s="233"/>
      <c r="R765" s="233"/>
      <c r="S765" s="237"/>
      <c r="T765" s="233"/>
    </row>
    <row r="766" spans="1:20" s="80" customFormat="1" ht="44.25" customHeight="1" x14ac:dyDescent="0.3">
      <c r="A766" s="846" t="s">
        <v>5</v>
      </c>
      <c r="B766" s="778" t="s">
        <v>6</v>
      </c>
      <c r="C766" s="778" t="s">
        <v>7</v>
      </c>
      <c r="D766" s="778" t="s">
        <v>959</v>
      </c>
      <c r="E766" s="849"/>
      <c r="F766" s="849"/>
      <c r="G766" s="778" t="s">
        <v>960</v>
      </c>
      <c r="H766" s="849"/>
      <c r="I766" s="849"/>
      <c r="J766" s="778" t="s">
        <v>961</v>
      </c>
      <c r="K766" s="849"/>
      <c r="L766" s="849"/>
      <c r="M766" s="779" t="s">
        <v>8</v>
      </c>
      <c r="N766" s="779" t="s">
        <v>9</v>
      </c>
      <c r="O766" s="779" t="s">
        <v>10</v>
      </c>
      <c r="P766" s="780" t="s">
        <v>11</v>
      </c>
      <c r="Q766" s="850" t="s">
        <v>12</v>
      </c>
      <c r="R766" s="824" t="s">
        <v>13</v>
      </c>
      <c r="S766" s="812" t="s">
        <v>14</v>
      </c>
      <c r="T766" s="825" t="s">
        <v>15</v>
      </c>
    </row>
    <row r="767" spans="1:20" s="80" customFormat="1" ht="30.75" customHeight="1" x14ac:dyDescent="0.3">
      <c r="A767" s="847"/>
      <c r="B767" s="849"/>
      <c r="C767" s="849"/>
      <c r="D767" s="778" t="s">
        <v>16</v>
      </c>
      <c r="E767" s="778" t="s">
        <v>17</v>
      </c>
      <c r="F767" s="849"/>
      <c r="G767" s="778" t="s">
        <v>16</v>
      </c>
      <c r="H767" s="778" t="s">
        <v>17</v>
      </c>
      <c r="I767" s="849"/>
      <c r="J767" s="776" t="s">
        <v>18</v>
      </c>
      <c r="K767" s="778" t="s">
        <v>17</v>
      </c>
      <c r="L767" s="849"/>
      <c r="M767" s="849"/>
      <c r="N767" s="849"/>
      <c r="O767" s="849"/>
      <c r="P767" s="849"/>
      <c r="Q767" s="851"/>
      <c r="R767" s="853"/>
      <c r="S767" s="853"/>
      <c r="T767" s="855"/>
    </row>
    <row r="768" spans="1:20" s="80" customFormat="1" ht="58.5" customHeight="1" x14ac:dyDescent="0.3">
      <c r="A768" s="848"/>
      <c r="B768" s="849"/>
      <c r="C768" s="849"/>
      <c r="D768" s="849"/>
      <c r="E768" s="415" t="s">
        <v>962</v>
      </c>
      <c r="F768" s="415" t="s">
        <v>963</v>
      </c>
      <c r="G768" s="849"/>
      <c r="H768" s="415" t="s">
        <v>962</v>
      </c>
      <c r="I768" s="189" t="s">
        <v>963</v>
      </c>
      <c r="J768" s="849"/>
      <c r="K768" s="415" t="s">
        <v>962</v>
      </c>
      <c r="L768" s="415" t="s">
        <v>963</v>
      </c>
      <c r="M768" s="849"/>
      <c r="N768" s="849"/>
      <c r="O768" s="849"/>
      <c r="P768" s="849"/>
      <c r="Q768" s="852"/>
      <c r="R768" s="854"/>
      <c r="S768" s="854"/>
      <c r="T768" s="856"/>
    </row>
    <row r="769" spans="1:26" s="19" customFormat="1" ht="111.75" customHeight="1" x14ac:dyDescent="0.3">
      <c r="A769" s="187" t="s">
        <v>522</v>
      </c>
      <c r="B769" s="190" t="s">
        <v>523</v>
      </c>
      <c r="C769" s="424" t="s">
        <v>748</v>
      </c>
      <c r="D769" s="191">
        <v>395</v>
      </c>
      <c r="E769" s="191">
        <v>90</v>
      </c>
      <c r="F769" s="191">
        <f>D769-E769</f>
        <v>305</v>
      </c>
      <c r="G769" s="191">
        <f>+H769+I769</f>
        <v>195</v>
      </c>
      <c r="H769" s="191">
        <v>90</v>
      </c>
      <c r="I769" s="192">
        <v>105</v>
      </c>
      <c r="J769" s="191">
        <f>K769+L769</f>
        <v>45.6</v>
      </c>
      <c r="K769" s="191">
        <v>0</v>
      </c>
      <c r="L769" s="191">
        <v>45.6</v>
      </c>
      <c r="M769" s="193">
        <v>0</v>
      </c>
      <c r="N769" s="193">
        <f>L769/F769</f>
        <v>0.14950819672131149</v>
      </c>
      <c r="O769" s="194" t="s">
        <v>21</v>
      </c>
      <c r="P769" s="195" t="s">
        <v>140</v>
      </c>
      <c r="Q769" s="188" t="s">
        <v>23</v>
      </c>
      <c r="R769" s="138" t="s">
        <v>24</v>
      </c>
      <c r="S769" s="138" t="s">
        <v>25</v>
      </c>
      <c r="T769" s="184" t="s">
        <v>524</v>
      </c>
    </row>
    <row r="770" spans="1:26" s="19" customFormat="1" ht="24.75" customHeight="1" x14ac:dyDescent="0.3">
      <c r="A770" s="272" t="s">
        <v>27</v>
      </c>
      <c r="B770" s="273" t="s">
        <v>777</v>
      </c>
      <c r="C770" s="233"/>
      <c r="D770" s="233"/>
      <c r="E770" s="233"/>
      <c r="F770" s="233"/>
      <c r="G770" s="233"/>
      <c r="H770" s="233"/>
      <c r="I770" s="234"/>
      <c r="J770" s="233"/>
      <c r="K770" s="235"/>
      <c r="L770" s="235"/>
      <c r="M770" s="233"/>
      <c r="N770" s="235"/>
      <c r="O770" s="233"/>
      <c r="P770" s="236"/>
      <c r="Q770" s="233"/>
      <c r="R770" s="233"/>
      <c r="S770" s="233"/>
      <c r="T770" s="233"/>
    </row>
    <row r="771" spans="1:26" ht="56.25" customHeight="1" x14ac:dyDescent="0.3">
      <c r="A771" s="781" t="s">
        <v>5</v>
      </c>
      <c r="B771" s="783" t="s">
        <v>663</v>
      </c>
      <c r="C771" s="783" t="s">
        <v>664</v>
      </c>
      <c r="D771" s="761" t="s">
        <v>665</v>
      </c>
      <c r="E771" s="761"/>
      <c r="F771" s="761"/>
      <c r="G771" s="761"/>
      <c r="H771" s="761" t="s">
        <v>666</v>
      </c>
      <c r="I771" s="760" t="s">
        <v>667</v>
      </c>
      <c r="J771" s="760"/>
      <c r="K771" s="760"/>
      <c r="L771" s="762" t="s">
        <v>668</v>
      </c>
      <c r="M771" s="762"/>
      <c r="N771" s="761" t="s">
        <v>43</v>
      </c>
      <c r="O771" s="761" t="s">
        <v>669</v>
      </c>
      <c r="P771" s="763" t="s">
        <v>670</v>
      </c>
      <c r="Q771" s="796" t="s">
        <v>42</v>
      </c>
      <c r="R771" s="783" t="s">
        <v>671</v>
      </c>
      <c r="S771" s="783" t="s">
        <v>44</v>
      </c>
      <c r="T771" s="798" t="s">
        <v>15</v>
      </c>
    </row>
    <row r="772" spans="1:26" ht="95.25" customHeight="1" x14ac:dyDescent="0.3">
      <c r="A772" s="782"/>
      <c r="B772" s="784"/>
      <c r="C772" s="784"/>
      <c r="D772" s="407" t="s">
        <v>672</v>
      </c>
      <c r="E772" s="407" t="s">
        <v>673</v>
      </c>
      <c r="F772" s="407" t="s">
        <v>759</v>
      </c>
      <c r="G772" s="407" t="s">
        <v>17</v>
      </c>
      <c r="H772" s="761"/>
      <c r="I772" s="420" t="s">
        <v>674</v>
      </c>
      <c r="J772" s="418" t="s">
        <v>675</v>
      </c>
      <c r="K772" s="419" t="s">
        <v>676</v>
      </c>
      <c r="L772" s="419" t="s">
        <v>677</v>
      </c>
      <c r="M772" s="134" t="s">
        <v>678</v>
      </c>
      <c r="N772" s="761"/>
      <c r="O772" s="761"/>
      <c r="P772" s="763"/>
      <c r="Q772" s="797"/>
      <c r="R772" s="784"/>
      <c r="S772" s="784"/>
      <c r="T772" s="799"/>
    </row>
    <row r="773" spans="1:26" ht="117.75" customHeight="1" x14ac:dyDescent="0.3">
      <c r="A773" s="69" t="s">
        <v>19</v>
      </c>
      <c r="B773" s="70" t="s">
        <v>679</v>
      </c>
      <c r="C773" s="71" t="s">
        <v>811</v>
      </c>
      <c r="D773" s="72" t="s">
        <v>389</v>
      </c>
      <c r="E773" s="72" t="s">
        <v>680</v>
      </c>
      <c r="F773" s="84">
        <v>45.6</v>
      </c>
      <c r="G773" s="73" t="s">
        <v>681</v>
      </c>
      <c r="H773" s="73" t="s">
        <v>812</v>
      </c>
      <c r="I773" s="73">
        <v>44.2</v>
      </c>
      <c r="J773" s="84">
        <v>0</v>
      </c>
      <c r="K773" s="84">
        <f>I773+J773</f>
        <v>44.2</v>
      </c>
      <c r="L773" s="84">
        <v>1.4</v>
      </c>
      <c r="M773" s="132" t="s">
        <v>734</v>
      </c>
      <c r="N773" s="133">
        <v>1</v>
      </c>
      <c r="O773" s="77">
        <v>1</v>
      </c>
      <c r="P773" s="78">
        <v>856000</v>
      </c>
      <c r="Q773" s="78">
        <f>+ROUND((P773*N773*K773),-3)</f>
        <v>37835000</v>
      </c>
      <c r="R773" s="78">
        <f>-ROUND((38000*J773*0.5%),-3)</f>
        <v>0</v>
      </c>
      <c r="S773" s="79">
        <f>+Q773+R773</f>
        <v>37835000</v>
      </c>
      <c r="T773" s="121" t="s">
        <v>833</v>
      </c>
    </row>
    <row r="774" spans="1:26" s="19" customFormat="1" ht="24.75" customHeight="1" x14ac:dyDescent="0.3">
      <c r="A774" s="272" t="s">
        <v>28</v>
      </c>
      <c r="B774" s="273" t="s">
        <v>315</v>
      </c>
      <c r="C774" s="233"/>
      <c r="D774" s="233"/>
      <c r="E774" s="233"/>
      <c r="F774" s="233"/>
      <c r="G774" s="233"/>
      <c r="H774" s="233"/>
      <c r="I774" s="234"/>
      <c r="J774" s="233"/>
      <c r="K774" s="235"/>
      <c r="L774" s="235"/>
      <c r="M774" s="233"/>
      <c r="N774" s="235"/>
      <c r="O774" s="233"/>
      <c r="P774" s="236"/>
      <c r="Q774" s="237"/>
      <c r="R774" s="237"/>
      <c r="S774" s="237"/>
      <c r="T774" s="233"/>
    </row>
    <row r="775" spans="1:26" s="19" customFormat="1" ht="24.75" customHeight="1" x14ac:dyDescent="0.3">
      <c r="A775" s="272" t="s">
        <v>56</v>
      </c>
      <c r="B775" s="273" t="s">
        <v>201</v>
      </c>
      <c r="C775" s="233"/>
      <c r="D775" s="233"/>
      <c r="E775" s="233"/>
      <c r="F775" s="233"/>
      <c r="G775" s="233"/>
      <c r="H775" s="233"/>
      <c r="I775" s="234"/>
      <c r="J775" s="233"/>
      <c r="K775" s="235"/>
      <c r="L775" s="235"/>
      <c r="M775" s="233"/>
      <c r="N775" s="235"/>
      <c r="O775" s="233"/>
      <c r="P775" s="236"/>
      <c r="Q775" s="233"/>
      <c r="R775" s="233"/>
      <c r="S775" s="203">
        <f>S783</f>
        <v>4435000</v>
      </c>
      <c r="T775" s="233"/>
    </row>
    <row r="776" spans="1:26" s="19" customFormat="1" ht="18.75" customHeight="1" x14ac:dyDescent="0.3">
      <c r="A776" s="765"/>
      <c r="B776" s="767" t="s">
        <v>51</v>
      </c>
      <c r="C776" s="767" t="s">
        <v>58</v>
      </c>
      <c r="D776" s="768" t="s">
        <v>59</v>
      </c>
      <c r="E776" s="769" t="s">
        <v>60</v>
      </c>
      <c r="F776" s="769" t="s">
        <v>61</v>
      </c>
      <c r="G776" s="769" t="s">
        <v>62</v>
      </c>
      <c r="H776" s="769" t="s">
        <v>63</v>
      </c>
      <c r="I776" s="770" t="s">
        <v>64</v>
      </c>
      <c r="J776" s="757"/>
      <c r="K776" s="757"/>
      <c r="L776" s="757"/>
      <c r="M776" s="758"/>
      <c r="N776" s="771" t="s">
        <v>3</v>
      </c>
      <c r="O776" s="771" t="s">
        <v>65</v>
      </c>
      <c r="P776" s="771" t="s">
        <v>66</v>
      </c>
      <c r="Q776" s="771" t="s">
        <v>67</v>
      </c>
      <c r="R776" s="767" t="s">
        <v>68</v>
      </c>
      <c r="S776" s="767" t="s">
        <v>69</v>
      </c>
      <c r="T776" s="767" t="s">
        <v>70</v>
      </c>
    </row>
    <row r="777" spans="1:26" s="19" customFormat="1" ht="18.75" customHeight="1" x14ac:dyDescent="0.3">
      <c r="A777" s="766"/>
      <c r="B777" s="766"/>
      <c r="C777" s="766"/>
      <c r="D777" s="766"/>
      <c r="E777" s="766"/>
      <c r="F777" s="766"/>
      <c r="G777" s="766"/>
      <c r="H777" s="766"/>
      <c r="I777" s="168" t="s">
        <v>71</v>
      </c>
      <c r="J777" s="159" t="s">
        <v>72</v>
      </c>
      <c r="K777" s="159" t="s">
        <v>73</v>
      </c>
      <c r="L777" s="45" t="s">
        <v>74</v>
      </c>
      <c r="M777" s="204" t="s">
        <v>75</v>
      </c>
      <c r="N777" s="766"/>
      <c r="O777" s="766"/>
      <c r="P777" s="766"/>
      <c r="Q777" s="766"/>
      <c r="R777" s="766"/>
      <c r="S777" s="766"/>
      <c r="T777" s="766"/>
    </row>
    <row r="778" spans="1:26" s="19" customFormat="1" ht="78" customHeight="1" x14ac:dyDescent="0.3">
      <c r="A778" s="196" t="s">
        <v>5</v>
      </c>
      <c r="B778" s="197" t="s">
        <v>76</v>
      </c>
      <c r="C778" s="197" t="s">
        <v>77</v>
      </c>
      <c r="D778" s="197" t="s">
        <v>78</v>
      </c>
      <c r="E778" s="198" t="s">
        <v>79</v>
      </c>
      <c r="F778" s="198" t="s">
        <v>80</v>
      </c>
      <c r="G778" s="198" t="s">
        <v>81</v>
      </c>
      <c r="H778" s="199" t="s">
        <v>82</v>
      </c>
      <c r="I778" s="200" t="s">
        <v>83</v>
      </c>
      <c r="J778" s="201" t="s">
        <v>84</v>
      </c>
      <c r="K778" s="201" t="s">
        <v>85</v>
      </c>
      <c r="L778" s="197" t="s">
        <v>86</v>
      </c>
      <c r="M778" s="202" t="s">
        <v>87</v>
      </c>
      <c r="N778" s="198" t="s">
        <v>88</v>
      </c>
      <c r="O778" s="198" t="s">
        <v>89</v>
      </c>
      <c r="P778" s="198" t="s">
        <v>90</v>
      </c>
      <c r="Q778" s="198" t="s">
        <v>91</v>
      </c>
      <c r="R778" s="198" t="s">
        <v>92</v>
      </c>
      <c r="S778" s="198" t="s">
        <v>964</v>
      </c>
      <c r="T778" s="198" t="s">
        <v>15</v>
      </c>
    </row>
    <row r="779" spans="1:26" s="19" customFormat="1" ht="63" customHeight="1" x14ac:dyDescent="0.3">
      <c r="A779" s="205">
        <v>1</v>
      </c>
      <c r="B779" s="206" t="s">
        <v>120</v>
      </c>
      <c r="C779" s="206" t="s">
        <v>1067</v>
      </c>
      <c r="D779" s="207" t="s">
        <v>241</v>
      </c>
      <c r="E779" s="207">
        <v>2021</v>
      </c>
      <c r="F779" s="122"/>
      <c r="G779" s="207">
        <v>19</v>
      </c>
      <c r="H779" s="207" t="s">
        <v>95</v>
      </c>
      <c r="I779" s="208">
        <f>2.8*5.9</f>
        <v>16.52</v>
      </c>
      <c r="J779" s="207">
        <v>0</v>
      </c>
      <c r="K779" s="259">
        <f>I779</f>
        <v>16.52</v>
      </c>
      <c r="L779" s="207">
        <v>0.99199999999999999</v>
      </c>
      <c r="M779" s="209">
        <v>268000</v>
      </c>
      <c r="N779" s="210">
        <v>0.3</v>
      </c>
      <c r="O779" s="209">
        <v>268000</v>
      </c>
      <c r="P779" s="211">
        <v>1318000</v>
      </c>
      <c r="Q779" s="207" t="s">
        <v>97</v>
      </c>
      <c r="R779" s="207" t="s">
        <v>97</v>
      </c>
      <c r="S779" s="211">
        <v>1318000</v>
      </c>
      <c r="T779" s="207" t="s">
        <v>966</v>
      </c>
    </row>
    <row r="780" spans="1:26" s="19" customFormat="1" ht="114" customHeight="1" x14ac:dyDescent="0.3">
      <c r="A780" s="205">
        <v>2</v>
      </c>
      <c r="B780" s="206" t="s">
        <v>965</v>
      </c>
      <c r="C780" s="206" t="s">
        <v>1068</v>
      </c>
      <c r="D780" s="207" t="s">
        <v>217</v>
      </c>
      <c r="E780" s="207">
        <v>2021</v>
      </c>
      <c r="F780" s="122"/>
      <c r="G780" s="207">
        <v>19</v>
      </c>
      <c r="H780" s="207" t="s">
        <v>95</v>
      </c>
      <c r="I780" s="208">
        <f>5.7*6.4</f>
        <v>36.480000000000004</v>
      </c>
      <c r="J780" s="207">
        <v>0</v>
      </c>
      <c r="K780" s="259">
        <f>I780</f>
        <v>36.480000000000004</v>
      </c>
      <c r="L780" s="207">
        <v>0.99199999999999999</v>
      </c>
      <c r="M780" s="209">
        <v>268000</v>
      </c>
      <c r="N780" s="210">
        <v>0.3</v>
      </c>
      <c r="O780" s="209">
        <v>268000</v>
      </c>
      <c r="P780" s="211">
        <v>2910000</v>
      </c>
      <c r="Q780" s="207" t="s">
        <v>97</v>
      </c>
      <c r="R780" s="207" t="s">
        <v>97</v>
      </c>
      <c r="S780" s="211">
        <v>2910000</v>
      </c>
      <c r="T780" s="207" t="s">
        <v>948</v>
      </c>
    </row>
    <row r="781" spans="1:26" s="19" customFormat="1" ht="70.5" customHeight="1" x14ac:dyDescent="0.3">
      <c r="A781" s="205">
        <v>3</v>
      </c>
      <c r="B781" s="212" t="s">
        <v>488</v>
      </c>
      <c r="C781" s="212" t="s">
        <v>526</v>
      </c>
      <c r="D781" s="213" t="s">
        <v>958</v>
      </c>
      <c r="E781" s="214" t="s">
        <v>525</v>
      </c>
      <c r="F781" s="215"/>
      <c r="G781" s="216">
        <f>2023-2004</f>
        <v>19</v>
      </c>
      <c r="H781" s="217" t="s">
        <v>95</v>
      </c>
      <c r="I781" s="218">
        <f>0.1*0.4*5.7</f>
        <v>0.22800000000000006</v>
      </c>
      <c r="J781" s="219" t="s">
        <v>96</v>
      </c>
      <c r="K781" s="225">
        <f>+I781-J781</f>
        <v>0.22800000000000006</v>
      </c>
      <c r="L781" s="221">
        <v>0.99199999999999999</v>
      </c>
      <c r="M781" s="222">
        <v>2446000</v>
      </c>
      <c r="N781" s="223">
        <v>0.3</v>
      </c>
      <c r="O781" s="222">
        <f>+M781</f>
        <v>2446000</v>
      </c>
      <c r="P781" s="224">
        <f>+ROUND((K781*L781*O781*N781),-3)</f>
        <v>166000</v>
      </c>
      <c r="Q781" s="222" t="s">
        <v>97</v>
      </c>
      <c r="R781" s="222" t="s">
        <v>97</v>
      </c>
      <c r="S781" s="224">
        <f>P781</f>
        <v>166000</v>
      </c>
      <c r="T781" s="517" t="s">
        <v>1062</v>
      </c>
    </row>
    <row r="782" spans="1:26" s="19" customFormat="1" ht="88.5" customHeight="1" x14ac:dyDescent="0.3">
      <c r="A782" s="205">
        <v>4</v>
      </c>
      <c r="B782" s="156" t="s">
        <v>488</v>
      </c>
      <c r="C782" s="156" t="s">
        <v>527</v>
      </c>
      <c r="D782" s="157" t="s">
        <v>958</v>
      </c>
      <c r="E782" s="158" t="s">
        <v>525</v>
      </c>
      <c r="F782" s="159"/>
      <c r="G782" s="325">
        <f>2023-E782</f>
        <v>2</v>
      </c>
      <c r="H782" s="326" t="s">
        <v>95</v>
      </c>
      <c r="I782" s="160">
        <f>0.1*0.1*5.7</f>
        <v>5.7000000000000016E-2</v>
      </c>
      <c r="J782" s="140" t="s">
        <v>96</v>
      </c>
      <c r="K782" s="138">
        <f>+I782-J782</f>
        <v>5.7000000000000016E-2</v>
      </c>
      <c r="L782" s="161">
        <v>0.99199999999999999</v>
      </c>
      <c r="M782" s="144">
        <v>2446000</v>
      </c>
      <c r="N782" s="145">
        <v>0.3</v>
      </c>
      <c r="O782" s="144">
        <f>+M782</f>
        <v>2446000</v>
      </c>
      <c r="P782" s="45">
        <f>+ROUND((K782*L782*O782*N782),-3)</f>
        <v>41000</v>
      </c>
      <c r="Q782" s="144" t="s">
        <v>97</v>
      </c>
      <c r="R782" s="144" t="s">
        <v>97</v>
      </c>
      <c r="S782" s="45">
        <f>P782</f>
        <v>41000</v>
      </c>
      <c r="T782" s="517" t="s">
        <v>1062</v>
      </c>
      <c r="U782" s="17"/>
      <c r="V782" s="17"/>
      <c r="W782" s="17"/>
      <c r="X782" s="17"/>
      <c r="Y782" s="17"/>
      <c r="Z782" s="17"/>
    </row>
    <row r="783" spans="1:26" s="19" customFormat="1" ht="33" customHeight="1" x14ac:dyDescent="0.3">
      <c r="A783" s="165"/>
      <c r="B783" s="166" t="s">
        <v>55</v>
      </c>
      <c r="C783" s="166"/>
      <c r="D783" s="159"/>
      <c r="E783" s="159"/>
      <c r="F783" s="167"/>
      <c r="G783" s="167"/>
      <c r="H783" s="167"/>
      <c r="I783" s="168"/>
      <c r="J783" s="168"/>
      <c r="K783" s="168"/>
      <c r="L783" s="45"/>
      <c r="M783" s="169"/>
      <c r="N783" s="170"/>
      <c r="O783" s="167"/>
      <c r="P783" s="45"/>
      <c r="Q783" s="45"/>
      <c r="R783" s="45"/>
      <c r="S783" s="45">
        <f>SUM(S779:S782)</f>
        <v>4435000</v>
      </c>
      <c r="T783" s="167"/>
    </row>
    <row r="784" spans="1:26" s="19" customFormat="1" ht="30" customHeight="1" x14ac:dyDescent="0.3">
      <c r="A784" s="171" t="s">
        <v>131</v>
      </c>
      <c r="B784" s="172" t="s">
        <v>132</v>
      </c>
      <c r="C784" s="173"/>
      <c r="D784" s="466"/>
      <c r="E784" s="466"/>
      <c r="F784" s="466"/>
      <c r="G784" s="466"/>
      <c r="H784" s="466"/>
      <c r="I784" s="467"/>
      <c r="J784" s="466"/>
      <c r="K784" s="468"/>
      <c r="L784" s="468"/>
      <c r="M784" s="466"/>
      <c r="N784" s="468"/>
      <c r="O784" s="466"/>
      <c r="P784" s="469"/>
      <c r="Q784" s="466"/>
      <c r="R784" s="466"/>
      <c r="S784" s="470"/>
      <c r="T784" s="466"/>
    </row>
    <row r="785" spans="1:20" s="19" customFormat="1" ht="30" customHeight="1" x14ac:dyDescent="0.3">
      <c r="A785" s="171" t="s">
        <v>133</v>
      </c>
      <c r="B785" s="172" t="s">
        <v>134</v>
      </c>
      <c r="C785" s="174"/>
      <c r="D785" s="174"/>
      <c r="E785" s="174"/>
      <c r="F785" s="174"/>
      <c r="G785" s="174"/>
      <c r="H785" s="174"/>
      <c r="I785" s="175"/>
      <c r="J785" s="174"/>
      <c r="K785" s="176"/>
      <c r="L785" s="176"/>
      <c r="M785" s="174"/>
      <c r="N785" s="176"/>
      <c r="O785" s="174"/>
      <c r="P785" s="177"/>
      <c r="Q785" s="174"/>
      <c r="R785" s="174"/>
      <c r="S785" s="174"/>
      <c r="T785" s="174"/>
    </row>
    <row r="786" spans="1:20" s="19" customFormat="1" ht="30" customHeight="1" x14ac:dyDescent="0.3">
      <c r="A786" s="178" t="s">
        <v>135</v>
      </c>
      <c r="B786" s="756" t="s">
        <v>528</v>
      </c>
      <c r="C786" s="757"/>
      <c r="D786" s="757"/>
      <c r="E786" s="757"/>
      <c r="F786" s="757"/>
      <c r="G786" s="757"/>
      <c r="H786" s="757"/>
      <c r="I786" s="757"/>
      <c r="J786" s="757"/>
      <c r="K786" s="757"/>
      <c r="L786" s="757"/>
      <c r="M786" s="757"/>
      <c r="N786" s="757"/>
      <c r="O786" s="757"/>
      <c r="P786" s="757"/>
      <c r="Q786" s="757"/>
      <c r="R786" s="758"/>
      <c r="S786" s="29">
        <f>+S783</f>
        <v>4435000</v>
      </c>
      <c r="T786" s="174" t="s">
        <v>137</v>
      </c>
    </row>
    <row r="787" spans="1:20" ht="22.5" customHeight="1" x14ac:dyDescent="0.3">
      <c r="A787" s="474"/>
      <c r="B787" s="829" t="s">
        <v>529</v>
      </c>
      <c r="C787" s="773"/>
      <c r="D787" s="773"/>
      <c r="E787" s="773"/>
      <c r="F787" s="773"/>
      <c r="G787" s="773"/>
      <c r="H787" s="773"/>
      <c r="I787" s="773"/>
      <c r="J787" s="773"/>
      <c r="K787" s="773"/>
      <c r="L787" s="773"/>
      <c r="M787" s="773"/>
      <c r="N787" s="773"/>
      <c r="O787" s="773"/>
      <c r="P787" s="773"/>
      <c r="Q787" s="773"/>
      <c r="R787" s="773"/>
      <c r="S787" s="773"/>
      <c r="T787" s="474"/>
    </row>
    <row r="788" spans="1:20" ht="18.75" customHeight="1" x14ac:dyDescent="0.3">
      <c r="A788" s="474"/>
      <c r="B788" s="772" t="s">
        <v>1</v>
      </c>
      <c r="C788" s="773"/>
      <c r="D788" s="773"/>
      <c r="E788" s="773"/>
      <c r="F788" s="773"/>
      <c r="G788" s="773"/>
      <c r="H788" s="773"/>
      <c r="I788" s="773"/>
      <c r="J788" s="773"/>
      <c r="K788" s="773"/>
      <c r="L788" s="773"/>
      <c r="M788" s="773"/>
      <c r="N788" s="773"/>
      <c r="O788" s="773"/>
      <c r="P788" s="773"/>
      <c r="Q788" s="773"/>
      <c r="R788" s="773"/>
      <c r="S788" s="773"/>
      <c r="T788" s="474"/>
    </row>
    <row r="789" spans="1:20" ht="18.75" customHeight="1" x14ac:dyDescent="0.3">
      <c r="A789" s="474"/>
      <c r="B789" s="772" t="s">
        <v>2</v>
      </c>
      <c r="C789" s="773"/>
      <c r="D789" s="773"/>
      <c r="E789" s="773"/>
      <c r="F789" s="773"/>
      <c r="G789" s="773"/>
      <c r="H789" s="773"/>
      <c r="I789" s="773"/>
      <c r="J789" s="773"/>
      <c r="K789" s="773"/>
      <c r="L789" s="773"/>
      <c r="M789" s="773"/>
      <c r="N789" s="773"/>
      <c r="O789" s="773"/>
      <c r="P789" s="773"/>
      <c r="Q789" s="773"/>
      <c r="R789" s="773"/>
      <c r="S789" s="773"/>
      <c r="T789" s="474"/>
    </row>
    <row r="790" spans="1:20" ht="25.5" customHeight="1" x14ac:dyDescent="0.3">
      <c r="A790" s="475"/>
      <c r="B790" s="809" t="str">
        <f>B764</f>
        <v>(Kèm theo Quyết định số     /QĐ-UBND ngày     tháng     năm 2026 của Ủy ban nhân dân xã Thuận An)</v>
      </c>
      <c r="C790" s="773"/>
      <c r="D790" s="773"/>
      <c r="E790" s="773"/>
      <c r="F790" s="773"/>
      <c r="G790" s="773"/>
      <c r="H790" s="773"/>
      <c r="I790" s="773"/>
      <c r="J790" s="773"/>
      <c r="K790" s="773"/>
      <c r="L790" s="773"/>
      <c r="M790" s="773"/>
      <c r="N790" s="773"/>
      <c r="O790" s="773"/>
      <c r="P790" s="773"/>
      <c r="Q790" s="773"/>
      <c r="R790" s="773"/>
      <c r="S790" s="773"/>
      <c r="T790" s="475"/>
    </row>
    <row r="791" spans="1:20" s="19" customFormat="1" ht="36" customHeight="1" thickBot="1" x14ac:dyDescent="0.35">
      <c r="A791" s="272" t="s">
        <v>3</v>
      </c>
      <c r="B791" s="273" t="s">
        <v>4</v>
      </c>
      <c r="C791" s="233"/>
      <c r="D791" s="233"/>
      <c r="E791" s="233"/>
      <c r="F791" s="233"/>
      <c r="G791" s="233"/>
      <c r="H791" s="233"/>
      <c r="I791" s="234"/>
      <c r="J791" s="233"/>
      <c r="K791" s="235"/>
      <c r="L791" s="235"/>
      <c r="M791" s="233"/>
      <c r="N791" s="235"/>
      <c r="O791" s="233"/>
      <c r="P791" s="236"/>
      <c r="Q791" s="233"/>
      <c r="R791" s="233"/>
      <c r="S791" s="237"/>
      <c r="T791" s="233"/>
    </row>
    <row r="792" spans="1:20" s="19" customFormat="1" ht="44.25" customHeight="1" x14ac:dyDescent="0.3">
      <c r="A792" s="810" t="s">
        <v>5</v>
      </c>
      <c r="B792" s="812" t="s">
        <v>6</v>
      </c>
      <c r="C792" s="814" t="s">
        <v>7</v>
      </c>
      <c r="D792" s="817" t="s">
        <v>959</v>
      </c>
      <c r="E792" s="818"/>
      <c r="F792" s="819"/>
      <c r="G792" s="817" t="s">
        <v>960</v>
      </c>
      <c r="H792" s="818"/>
      <c r="I792" s="819"/>
      <c r="J792" s="817" t="s">
        <v>961</v>
      </c>
      <c r="K792" s="818"/>
      <c r="L792" s="819"/>
      <c r="M792" s="820" t="s">
        <v>8</v>
      </c>
      <c r="N792" s="823" t="s">
        <v>9</v>
      </c>
      <c r="O792" s="823" t="s">
        <v>10</v>
      </c>
      <c r="P792" s="824" t="s">
        <v>11</v>
      </c>
      <c r="Q792" s="824" t="s">
        <v>12</v>
      </c>
      <c r="R792" s="824" t="s">
        <v>13</v>
      </c>
      <c r="S792" s="812" t="s">
        <v>14</v>
      </c>
      <c r="T792" s="825" t="s">
        <v>15</v>
      </c>
    </row>
    <row r="793" spans="1:20" s="19" customFormat="1" ht="30.75" customHeight="1" x14ac:dyDescent="0.3">
      <c r="A793" s="811"/>
      <c r="B793" s="813"/>
      <c r="C793" s="815"/>
      <c r="D793" s="827" t="s">
        <v>16</v>
      </c>
      <c r="E793" s="803" t="s">
        <v>17</v>
      </c>
      <c r="F793" s="828"/>
      <c r="G793" s="827" t="s">
        <v>16</v>
      </c>
      <c r="H793" s="803" t="s">
        <v>17</v>
      </c>
      <c r="I793" s="828"/>
      <c r="J793" s="800" t="s">
        <v>18</v>
      </c>
      <c r="K793" s="803" t="s">
        <v>17</v>
      </c>
      <c r="L793" s="828"/>
      <c r="M793" s="821"/>
      <c r="N793" s="813"/>
      <c r="O793" s="813"/>
      <c r="P793" s="813"/>
      <c r="Q793" s="813"/>
      <c r="R793" s="813"/>
      <c r="S793" s="813"/>
      <c r="T793" s="826"/>
    </row>
    <row r="794" spans="1:20" s="19" customFormat="1" ht="58.5" customHeight="1" x14ac:dyDescent="0.3">
      <c r="A794" s="801"/>
      <c r="B794" s="766"/>
      <c r="C794" s="816"/>
      <c r="D794" s="801"/>
      <c r="E794" s="167" t="s">
        <v>962</v>
      </c>
      <c r="F794" s="185" t="s">
        <v>963</v>
      </c>
      <c r="G794" s="801"/>
      <c r="H794" s="167" t="s">
        <v>962</v>
      </c>
      <c r="I794" s="186" t="s">
        <v>963</v>
      </c>
      <c r="J794" s="801"/>
      <c r="K794" s="167" t="s">
        <v>962</v>
      </c>
      <c r="L794" s="185" t="s">
        <v>963</v>
      </c>
      <c r="M794" s="822"/>
      <c r="N794" s="766"/>
      <c r="O794" s="766"/>
      <c r="P794" s="766"/>
      <c r="Q794" s="766"/>
      <c r="R794" s="766"/>
      <c r="S794" s="766"/>
      <c r="T794" s="808"/>
    </row>
    <row r="795" spans="1:20" s="19" customFormat="1" ht="106.5" customHeight="1" x14ac:dyDescent="0.3">
      <c r="A795" s="179" t="s">
        <v>530</v>
      </c>
      <c r="B795" s="44" t="s">
        <v>531</v>
      </c>
      <c r="C795" s="49" t="s">
        <v>747</v>
      </c>
      <c r="D795" s="180">
        <f>E795+F795</f>
        <v>146</v>
      </c>
      <c r="E795" s="143">
        <v>90</v>
      </c>
      <c r="F795" s="181">
        <v>56</v>
      </c>
      <c r="G795" s="180">
        <f>+H795+I795</f>
        <v>146</v>
      </c>
      <c r="H795" s="143">
        <v>90</v>
      </c>
      <c r="I795" s="182">
        <v>56</v>
      </c>
      <c r="J795" s="180">
        <f>K795+L795</f>
        <v>33.200000000000003</v>
      </c>
      <c r="K795" s="143">
        <v>0</v>
      </c>
      <c r="L795" s="181">
        <v>33.200000000000003</v>
      </c>
      <c r="M795" s="377">
        <v>0</v>
      </c>
      <c r="N795" s="183">
        <f>L795/F795</f>
        <v>0.59285714285714286</v>
      </c>
      <c r="O795" s="142" t="s">
        <v>21</v>
      </c>
      <c r="P795" s="144" t="s">
        <v>140</v>
      </c>
      <c r="Q795" s="144" t="s">
        <v>23</v>
      </c>
      <c r="R795" s="138" t="s">
        <v>24</v>
      </c>
      <c r="S795" s="138" t="s">
        <v>25</v>
      </c>
      <c r="T795" s="184" t="s">
        <v>532</v>
      </c>
    </row>
    <row r="796" spans="1:20" s="19" customFormat="1" ht="19.5" x14ac:dyDescent="0.3">
      <c r="A796" s="272" t="s">
        <v>27</v>
      </c>
      <c r="B796" s="273" t="s">
        <v>777</v>
      </c>
      <c r="C796" s="233"/>
      <c r="D796" s="233"/>
      <c r="E796" s="233"/>
      <c r="F796" s="233"/>
      <c r="G796" s="233"/>
      <c r="H796" s="233"/>
      <c r="I796" s="234"/>
      <c r="J796" s="233"/>
      <c r="K796" s="235"/>
      <c r="L796" s="235"/>
      <c r="M796" s="233"/>
      <c r="N796" s="235"/>
      <c r="O796" s="233"/>
      <c r="P796" s="236"/>
      <c r="Q796" s="233"/>
      <c r="R796" s="233"/>
      <c r="S796" s="237"/>
      <c r="T796" s="233"/>
    </row>
    <row r="797" spans="1:20" s="19" customFormat="1" ht="52.5" customHeight="1" x14ac:dyDescent="0.3">
      <c r="A797" s="781" t="s">
        <v>5</v>
      </c>
      <c r="B797" s="783" t="s">
        <v>663</v>
      </c>
      <c r="C797" s="783" t="s">
        <v>664</v>
      </c>
      <c r="D797" s="785" t="s">
        <v>665</v>
      </c>
      <c r="E797" s="786"/>
      <c r="F797" s="786"/>
      <c r="G797" s="787"/>
      <c r="H797" s="788" t="s">
        <v>666</v>
      </c>
      <c r="I797" s="790" t="s">
        <v>667</v>
      </c>
      <c r="J797" s="760"/>
      <c r="K797" s="791"/>
      <c r="L797" s="792" t="s">
        <v>668</v>
      </c>
      <c r="M797" s="793"/>
      <c r="N797" s="794" t="s">
        <v>43</v>
      </c>
      <c r="O797" s="783" t="s">
        <v>669</v>
      </c>
      <c r="P797" s="796" t="s">
        <v>670</v>
      </c>
      <c r="Q797" s="796" t="s">
        <v>42</v>
      </c>
      <c r="R797" s="783" t="s">
        <v>671</v>
      </c>
      <c r="S797" s="783" t="s">
        <v>44</v>
      </c>
      <c r="T797" s="798" t="s">
        <v>15</v>
      </c>
    </row>
    <row r="798" spans="1:20" s="19" customFormat="1" ht="107.25" customHeight="1" x14ac:dyDescent="0.3">
      <c r="A798" s="782"/>
      <c r="B798" s="784"/>
      <c r="C798" s="784"/>
      <c r="D798" s="407" t="s">
        <v>672</v>
      </c>
      <c r="E798" s="407" t="s">
        <v>673</v>
      </c>
      <c r="F798" s="407" t="s">
        <v>759</v>
      </c>
      <c r="G798" s="407" t="s">
        <v>17</v>
      </c>
      <c r="H798" s="789"/>
      <c r="I798" s="125" t="s">
        <v>674</v>
      </c>
      <c r="J798" s="418" t="s">
        <v>675</v>
      </c>
      <c r="K798" s="81" t="s">
        <v>676</v>
      </c>
      <c r="L798" s="82" t="s">
        <v>677</v>
      </c>
      <c r="M798" s="83" t="s">
        <v>678</v>
      </c>
      <c r="N798" s="795"/>
      <c r="O798" s="784"/>
      <c r="P798" s="797"/>
      <c r="Q798" s="797"/>
      <c r="R798" s="784"/>
      <c r="S798" s="784"/>
      <c r="T798" s="799"/>
    </row>
    <row r="799" spans="1:20" s="19" customFormat="1" ht="101.25" customHeight="1" x14ac:dyDescent="0.3">
      <c r="A799" s="226" t="s">
        <v>19</v>
      </c>
      <c r="B799" s="227" t="s">
        <v>679</v>
      </c>
      <c r="C799" s="228" t="s">
        <v>813</v>
      </c>
      <c r="D799" s="418" t="s">
        <v>128</v>
      </c>
      <c r="E799" s="418" t="s">
        <v>680</v>
      </c>
      <c r="F799" s="419">
        <v>33.200000000000003</v>
      </c>
      <c r="G799" s="420" t="s">
        <v>681</v>
      </c>
      <c r="H799" s="229" t="s">
        <v>814</v>
      </c>
      <c r="I799" s="125">
        <v>33.200000000000003</v>
      </c>
      <c r="J799" s="419">
        <v>0</v>
      </c>
      <c r="K799" s="419">
        <f>I799+J799</f>
        <v>33.200000000000003</v>
      </c>
      <c r="L799" s="82">
        <v>0</v>
      </c>
      <c r="M799" s="83"/>
      <c r="N799" s="230">
        <v>1</v>
      </c>
      <c r="O799" s="423">
        <v>1</v>
      </c>
      <c r="P799" s="231">
        <v>856000</v>
      </c>
      <c r="Q799" s="231">
        <f>+ROUND((P799*N799*K799),-3)</f>
        <v>28419000</v>
      </c>
      <c r="R799" s="231">
        <f>-ROUND((38000*J799*0.5%),-3)</f>
        <v>0</v>
      </c>
      <c r="S799" s="408">
        <f>+Q799+R799</f>
        <v>28419000</v>
      </c>
      <c r="T799" s="232" t="s">
        <v>833</v>
      </c>
    </row>
    <row r="800" spans="1:20" s="19" customFormat="1" ht="18.75" customHeight="1" x14ac:dyDescent="0.3">
      <c r="A800" s="272" t="s">
        <v>28</v>
      </c>
      <c r="B800" s="273" t="s">
        <v>141</v>
      </c>
      <c r="C800" s="233"/>
      <c r="D800" s="233"/>
      <c r="E800" s="233"/>
      <c r="F800" s="233"/>
      <c r="G800" s="233"/>
      <c r="H800" s="233"/>
      <c r="I800" s="234"/>
      <c r="J800" s="233"/>
      <c r="K800" s="235"/>
      <c r="L800" s="235"/>
      <c r="M800" s="233"/>
      <c r="N800" s="235"/>
      <c r="O800" s="233"/>
      <c r="P800" s="236"/>
      <c r="Q800" s="237"/>
      <c r="R800" s="237"/>
      <c r="S800" s="238">
        <f>S804</f>
        <v>77000</v>
      </c>
      <c r="T800" s="233"/>
    </row>
    <row r="801" spans="1:20" s="19" customFormat="1" ht="32.25" customHeight="1" x14ac:dyDescent="0.3">
      <c r="A801" s="800" t="s">
        <v>5</v>
      </c>
      <c r="B801" s="802" t="s">
        <v>30</v>
      </c>
      <c r="C801" s="802" t="s">
        <v>31</v>
      </c>
      <c r="D801" s="802" t="s">
        <v>32</v>
      </c>
      <c r="E801" s="803" t="s">
        <v>33</v>
      </c>
      <c r="F801" s="758"/>
      <c r="G801" s="802" t="s">
        <v>34</v>
      </c>
      <c r="H801" s="802" t="s">
        <v>35</v>
      </c>
      <c r="I801" s="804" t="s">
        <v>36</v>
      </c>
      <c r="J801" s="758"/>
      <c r="K801" s="769" t="s">
        <v>37</v>
      </c>
      <c r="L801" s="769" t="s">
        <v>38</v>
      </c>
      <c r="M801" s="805" t="s">
        <v>39</v>
      </c>
      <c r="N801" s="802" t="s">
        <v>839</v>
      </c>
      <c r="O801" s="802" t="s">
        <v>967</v>
      </c>
      <c r="P801" s="806" t="s">
        <v>41</v>
      </c>
      <c r="Q801" s="806" t="s">
        <v>42</v>
      </c>
      <c r="R801" s="802" t="s">
        <v>43</v>
      </c>
      <c r="S801" s="802" t="s">
        <v>44</v>
      </c>
      <c r="T801" s="807" t="s">
        <v>15</v>
      </c>
    </row>
    <row r="802" spans="1:20" s="19" customFormat="1" ht="69" customHeight="1" x14ac:dyDescent="0.3">
      <c r="A802" s="801"/>
      <c r="B802" s="766"/>
      <c r="C802" s="766"/>
      <c r="D802" s="766"/>
      <c r="E802" s="167" t="s">
        <v>45</v>
      </c>
      <c r="F802" s="167" t="s">
        <v>46</v>
      </c>
      <c r="G802" s="766"/>
      <c r="H802" s="766"/>
      <c r="I802" s="140" t="s">
        <v>47</v>
      </c>
      <c r="J802" s="143" t="s">
        <v>48</v>
      </c>
      <c r="K802" s="766"/>
      <c r="L802" s="766"/>
      <c r="M802" s="766"/>
      <c r="N802" s="766"/>
      <c r="O802" s="766"/>
      <c r="P802" s="766"/>
      <c r="Q802" s="766"/>
      <c r="R802" s="766"/>
      <c r="S802" s="766"/>
      <c r="T802" s="808"/>
    </row>
    <row r="803" spans="1:20" s="19" customFormat="1" ht="99" customHeight="1" x14ac:dyDescent="0.3">
      <c r="A803" s="136" t="s">
        <v>19</v>
      </c>
      <c r="B803" s="156" t="s">
        <v>149</v>
      </c>
      <c r="C803" s="156" t="s">
        <v>968</v>
      </c>
      <c r="D803" s="52"/>
      <c r="E803" s="138" t="s">
        <v>27</v>
      </c>
      <c r="F803" s="139" t="s">
        <v>52</v>
      </c>
      <c r="G803" s="138" t="s">
        <v>146</v>
      </c>
      <c r="H803" s="138" t="s">
        <v>21</v>
      </c>
      <c r="I803" s="140" t="s">
        <v>301</v>
      </c>
      <c r="J803" s="141"/>
      <c r="K803" s="142">
        <v>1</v>
      </c>
      <c r="L803" s="142">
        <f>K803</f>
        <v>1</v>
      </c>
      <c r="M803" s="52" t="s">
        <v>54</v>
      </c>
      <c r="N803" s="143">
        <f>10000/1750</f>
        <v>5.7142857142857144</v>
      </c>
      <c r="O803" s="143">
        <f>N803*L803</f>
        <v>5.7142857142857144</v>
      </c>
      <c r="P803" s="144">
        <v>77000</v>
      </c>
      <c r="Q803" s="144">
        <f>+ROUND((L803*P803),-3)</f>
        <v>77000</v>
      </c>
      <c r="R803" s="145">
        <v>1</v>
      </c>
      <c r="S803" s="144">
        <f>+ROUND((Q803*R803),-3)</f>
        <v>77000</v>
      </c>
      <c r="T803" s="52" t="s">
        <v>148</v>
      </c>
    </row>
    <row r="804" spans="1:20" s="19" customFormat="1" ht="48.75" customHeight="1" x14ac:dyDescent="0.3">
      <c r="A804" s="239"/>
      <c r="B804" s="166" t="s">
        <v>55</v>
      </c>
      <c r="C804" s="166"/>
      <c r="D804" s="240"/>
      <c r="E804" s="159"/>
      <c r="F804" s="167"/>
      <c r="G804" s="167"/>
      <c r="H804" s="167"/>
      <c r="I804" s="168"/>
      <c r="J804" s="167"/>
      <c r="K804" s="241"/>
      <c r="L804" s="241"/>
      <c r="M804" s="169"/>
      <c r="N804" s="170"/>
      <c r="O804" s="167"/>
      <c r="P804" s="45"/>
      <c r="Q804" s="45"/>
      <c r="R804" s="45"/>
      <c r="S804" s="45">
        <f>S803</f>
        <v>77000</v>
      </c>
      <c r="T804" s="185"/>
    </row>
    <row r="805" spans="1:20" s="19" customFormat="1" ht="25.5" customHeight="1" x14ac:dyDescent="0.3">
      <c r="A805" s="272" t="s">
        <v>56</v>
      </c>
      <c r="B805" s="273" t="s">
        <v>201</v>
      </c>
      <c r="C805" s="233"/>
      <c r="D805" s="233"/>
      <c r="E805" s="233"/>
      <c r="F805" s="233"/>
      <c r="G805" s="233"/>
      <c r="H805" s="233"/>
      <c r="I805" s="234"/>
      <c r="J805" s="233"/>
      <c r="K805" s="235"/>
      <c r="L805" s="235"/>
      <c r="M805" s="233"/>
      <c r="N805" s="235"/>
      <c r="O805" s="233"/>
      <c r="P805" s="236"/>
      <c r="Q805" s="233"/>
      <c r="R805" s="233"/>
      <c r="S805" s="237">
        <f>S819</f>
        <v>10697000</v>
      </c>
      <c r="T805" s="233"/>
    </row>
    <row r="806" spans="1:20" s="19" customFormat="1" ht="18.75" customHeight="1" x14ac:dyDescent="0.3">
      <c r="A806" s="765"/>
      <c r="B806" s="767" t="s">
        <v>51</v>
      </c>
      <c r="C806" s="767" t="s">
        <v>58</v>
      </c>
      <c r="D806" s="768" t="s">
        <v>59</v>
      </c>
      <c r="E806" s="769" t="s">
        <v>60</v>
      </c>
      <c r="F806" s="769" t="s">
        <v>61</v>
      </c>
      <c r="G806" s="769" t="s">
        <v>62</v>
      </c>
      <c r="H806" s="769" t="s">
        <v>63</v>
      </c>
      <c r="I806" s="770" t="s">
        <v>64</v>
      </c>
      <c r="J806" s="757"/>
      <c r="K806" s="757"/>
      <c r="L806" s="757"/>
      <c r="M806" s="758"/>
      <c r="N806" s="771" t="s">
        <v>3</v>
      </c>
      <c r="O806" s="771" t="s">
        <v>65</v>
      </c>
      <c r="P806" s="771" t="s">
        <v>66</v>
      </c>
      <c r="Q806" s="771" t="s">
        <v>67</v>
      </c>
      <c r="R806" s="767" t="s">
        <v>68</v>
      </c>
      <c r="S806" s="767" t="s">
        <v>69</v>
      </c>
      <c r="T806" s="767" t="s">
        <v>70</v>
      </c>
    </row>
    <row r="807" spans="1:20" s="19" customFormat="1" ht="18.75" customHeight="1" x14ac:dyDescent="0.3">
      <c r="A807" s="766"/>
      <c r="B807" s="766"/>
      <c r="C807" s="766"/>
      <c r="D807" s="766"/>
      <c r="E807" s="766"/>
      <c r="F807" s="766"/>
      <c r="G807" s="766"/>
      <c r="H807" s="766"/>
      <c r="I807" s="168" t="s">
        <v>71</v>
      </c>
      <c r="J807" s="159" t="s">
        <v>72</v>
      </c>
      <c r="K807" s="159" t="s">
        <v>73</v>
      </c>
      <c r="L807" s="45" t="s">
        <v>74</v>
      </c>
      <c r="M807" s="204" t="s">
        <v>75</v>
      </c>
      <c r="N807" s="766"/>
      <c r="O807" s="766"/>
      <c r="P807" s="766"/>
      <c r="Q807" s="766"/>
      <c r="R807" s="766"/>
      <c r="S807" s="766"/>
      <c r="T807" s="766"/>
    </row>
    <row r="808" spans="1:20" s="19" customFormat="1" ht="87" customHeight="1" x14ac:dyDescent="0.3">
      <c r="A808" s="196" t="s">
        <v>5</v>
      </c>
      <c r="B808" s="49" t="s">
        <v>76</v>
      </c>
      <c r="C808" s="49" t="s">
        <v>77</v>
      </c>
      <c r="D808" s="49" t="s">
        <v>78</v>
      </c>
      <c r="E808" s="159" t="s">
        <v>79</v>
      </c>
      <c r="F808" s="159" t="s">
        <v>80</v>
      </c>
      <c r="G808" s="159" t="s">
        <v>81</v>
      </c>
      <c r="H808" s="45" t="s">
        <v>82</v>
      </c>
      <c r="I808" s="168" t="s">
        <v>83</v>
      </c>
      <c r="J808" s="242" t="s">
        <v>84</v>
      </c>
      <c r="K808" s="242" t="s">
        <v>85</v>
      </c>
      <c r="L808" s="49" t="s">
        <v>86</v>
      </c>
      <c r="M808" s="204" t="s">
        <v>87</v>
      </c>
      <c r="N808" s="159" t="s">
        <v>88</v>
      </c>
      <c r="O808" s="159" t="s">
        <v>89</v>
      </c>
      <c r="P808" s="159" t="s">
        <v>90</v>
      </c>
      <c r="Q808" s="159" t="s">
        <v>91</v>
      </c>
      <c r="R808" s="159" t="s">
        <v>92</v>
      </c>
      <c r="S808" s="159" t="s">
        <v>964</v>
      </c>
      <c r="T808" s="159" t="s">
        <v>15</v>
      </c>
    </row>
    <row r="809" spans="1:20" ht="99" customHeight="1" x14ac:dyDescent="0.3">
      <c r="A809" s="628">
        <v>1</v>
      </c>
      <c r="B809" s="498" t="s">
        <v>214</v>
      </c>
      <c r="C809" s="498" t="s">
        <v>533</v>
      </c>
      <c r="D809" s="499" t="s">
        <v>1021</v>
      </c>
      <c r="E809" s="502" t="s">
        <v>301</v>
      </c>
      <c r="F809" s="458"/>
      <c r="G809" s="551">
        <f>2023-2004</f>
        <v>19</v>
      </c>
      <c r="H809" s="552" t="s">
        <v>95</v>
      </c>
      <c r="I809" s="501">
        <f>3.1*3</f>
        <v>9.3000000000000007</v>
      </c>
      <c r="J809" s="461" t="s">
        <v>96</v>
      </c>
      <c r="K809" s="629">
        <f t="shared" ref="K809:K816" si="85">+I809-J809</f>
        <v>9.3000000000000007</v>
      </c>
      <c r="L809" s="462">
        <v>0.99199999999999999</v>
      </c>
      <c r="M809" s="463">
        <v>268000</v>
      </c>
      <c r="N809" s="464">
        <v>0.3</v>
      </c>
      <c r="O809" s="463">
        <f>+M809</f>
        <v>268000</v>
      </c>
      <c r="P809" s="459">
        <f t="shared" ref="P809:P818" si="86">+ROUND((K809*L809*O809*N809),-3)</f>
        <v>742000</v>
      </c>
      <c r="Q809" s="463" t="s">
        <v>97</v>
      </c>
      <c r="R809" s="463" t="s">
        <v>97</v>
      </c>
      <c r="S809" s="459">
        <f t="shared" ref="S809:S818" si="87">P809</f>
        <v>742000</v>
      </c>
      <c r="T809" s="460" t="s">
        <v>908</v>
      </c>
    </row>
    <row r="810" spans="1:20" ht="99" customHeight="1" x14ac:dyDescent="0.3">
      <c r="A810" s="628">
        <v>2</v>
      </c>
      <c r="B810" s="498" t="s">
        <v>99</v>
      </c>
      <c r="C810" s="498" t="s">
        <v>534</v>
      </c>
      <c r="D810" s="499" t="s">
        <v>1037</v>
      </c>
      <c r="E810" s="502" t="s">
        <v>301</v>
      </c>
      <c r="F810" s="458"/>
      <c r="G810" s="551">
        <f>2023-E810</f>
        <v>6</v>
      </c>
      <c r="H810" s="552" t="s">
        <v>95</v>
      </c>
      <c r="I810" s="501">
        <f>(0.25*0.25*2)*2</f>
        <v>0.25</v>
      </c>
      <c r="J810" s="461" t="s">
        <v>96</v>
      </c>
      <c r="K810" s="629">
        <f t="shared" si="85"/>
        <v>0.25</v>
      </c>
      <c r="L810" s="462">
        <v>0.99199999999999999</v>
      </c>
      <c r="M810" s="463">
        <v>2556000</v>
      </c>
      <c r="N810" s="464">
        <v>0.3</v>
      </c>
      <c r="O810" s="463">
        <f>+M810</f>
        <v>2556000</v>
      </c>
      <c r="P810" s="459">
        <f t="shared" si="86"/>
        <v>190000</v>
      </c>
      <c r="Q810" s="463" t="s">
        <v>97</v>
      </c>
      <c r="R810" s="463" t="s">
        <v>97</v>
      </c>
      <c r="S810" s="459">
        <f t="shared" si="87"/>
        <v>190000</v>
      </c>
      <c r="T810" s="460" t="s">
        <v>916</v>
      </c>
    </row>
    <row r="811" spans="1:20" ht="99" customHeight="1" x14ac:dyDescent="0.3">
      <c r="A811" s="628">
        <v>3</v>
      </c>
      <c r="B811" s="498" t="s">
        <v>105</v>
      </c>
      <c r="C811" s="498" t="s">
        <v>535</v>
      </c>
      <c r="D811" s="499" t="s">
        <v>1021</v>
      </c>
      <c r="E811" s="502" t="s">
        <v>301</v>
      </c>
      <c r="F811" s="458"/>
      <c r="G811" s="551">
        <f>2023-2004</f>
        <v>19</v>
      </c>
      <c r="H811" s="552" t="s">
        <v>95</v>
      </c>
      <c r="I811" s="501">
        <f>1.85*2.15</f>
        <v>3.9775</v>
      </c>
      <c r="J811" s="461" t="s">
        <v>96</v>
      </c>
      <c r="K811" s="629">
        <f t="shared" si="85"/>
        <v>3.9775</v>
      </c>
      <c r="L811" s="462">
        <v>0.99199999999999999</v>
      </c>
      <c r="M811" s="463">
        <v>835000</v>
      </c>
      <c r="N811" s="464">
        <v>0.3</v>
      </c>
      <c r="O811" s="463">
        <f>+M811</f>
        <v>835000</v>
      </c>
      <c r="P811" s="459">
        <f t="shared" si="86"/>
        <v>988000</v>
      </c>
      <c r="Q811" s="463" t="s">
        <v>97</v>
      </c>
      <c r="R811" s="463" t="s">
        <v>97</v>
      </c>
      <c r="S811" s="459">
        <f t="shared" si="87"/>
        <v>988000</v>
      </c>
      <c r="T811" s="460" t="s">
        <v>911</v>
      </c>
    </row>
    <row r="812" spans="1:20" ht="141" customHeight="1" x14ac:dyDescent="0.3">
      <c r="A812" s="628">
        <v>4</v>
      </c>
      <c r="B812" s="498" t="s">
        <v>93</v>
      </c>
      <c r="C812" s="498" t="s">
        <v>1069</v>
      </c>
      <c r="D812" s="499" t="s">
        <v>1021</v>
      </c>
      <c r="E812" s="502" t="s">
        <v>301</v>
      </c>
      <c r="F812" s="458"/>
      <c r="G812" s="551">
        <f>2023-2004</f>
        <v>19</v>
      </c>
      <c r="H812" s="552" t="s">
        <v>95</v>
      </c>
      <c r="I812" s="501">
        <f>2.4*1.85</f>
        <v>4.4400000000000004</v>
      </c>
      <c r="J812" s="461" t="s">
        <v>96</v>
      </c>
      <c r="K812" s="460">
        <f t="shared" si="85"/>
        <v>4.4400000000000004</v>
      </c>
      <c r="L812" s="462">
        <v>0.99199999999999999</v>
      </c>
      <c r="M812" s="463">
        <v>1487000</v>
      </c>
      <c r="N812" s="464">
        <v>0.3</v>
      </c>
      <c r="O812" s="463">
        <f>+M812*90%*80%*70%</f>
        <v>749448</v>
      </c>
      <c r="P812" s="459">
        <f t="shared" si="86"/>
        <v>990000</v>
      </c>
      <c r="Q812" s="463" t="s">
        <v>97</v>
      </c>
      <c r="R812" s="463" t="s">
        <v>97</v>
      </c>
      <c r="S812" s="459">
        <f t="shared" si="87"/>
        <v>990000</v>
      </c>
      <c r="T812" s="460" t="s">
        <v>1009</v>
      </c>
    </row>
    <row r="813" spans="1:20" ht="139.5" customHeight="1" x14ac:dyDescent="0.3">
      <c r="A813" s="628">
        <v>5</v>
      </c>
      <c r="B813" s="498" t="s">
        <v>93</v>
      </c>
      <c r="C813" s="498" t="s">
        <v>1070</v>
      </c>
      <c r="D813" s="499" t="s">
        <v>1021</v>
      </c>
      <c r="E813" s="502" t="s">
        <v>301</v>
      </c>
      <c r="F813" s="458"/>
      <c r="G813" s="551">
        <f>2023-2004</f>
        <v>19</v>
      </c>
      <c r="H813" s="552" t="s">
        <v>95</v>
      </c>
      <c r="I813" s="501">
        <f>4.6*2.8</f>
        <v>12.879999999999999</v>
      </c>
      <c r="J813" s="461" t="s">
        <v>96</v>
      </c>
      <c r="K813" s="460">
        <f t="shared" si="85"/>
        <v>12.879999999999999</v>
      </c>
      <c r="L813" s="462">
        <v>0.99199999999999999</v>
      </c>
      <c r="M813" s="463">
        <v>1487000</v>
      </c>
      <c r="N813" s="464">
        <v>0.3</v>
      </c>
      <c r="O813" s="463">
        <f>+M813*90%*80%*70%</f>
        <v>749448</v>
      </c>
      <c r="P813" s="459">
        <f t="shared" si="86"/>
        <v>2873000</v>
      </c>
      <c r="Q813" s="463" t="s">
        <v>97</v>
      </c>
      <c r="R813" s="463" t="s">
        <v>97</v>
      </c>
      <c r="S813" s="459">
        <f t="shared" si="87"/>
        <v>2873000</v>
      </c>
      <c r="T813" s="460" t="s">
        <v>992</v>
      </c>
    </row>
    <row r="814" spans="1:20" ht="99" customHeight="1" x14ac:dyDescent="0.3">
      <c r="A814" s="628">
        <v>6</v>
      </c>
      <c r="B814" s="498" t="s">
        <v>111</v>
      </c>
      <c r="C814" s="498" t="s">
        <v>536</v>
      </c>
      <c r="D814" s="499" t="s">
        <v>1021</v>
      </c>
      <c r="E814" s="502" t="s">
        <v>301</v>
      </c>
      <c r="F814" s="458"/>
      <c r="G814" s="551">
        <f>2023-2004</f>
        <v>19</v>
      </c>
      <c r="H814" s="552" t="s">
        <v>95</v>
      </c>
      <c r="I814" s="501">
        <f>3.2*0.6</f>
        <v>1.92</v>
      </c>
      <c r="J814" s="461" t="s">
        <v>96</v>
      </c>
      <c r="K814" s="460">
        <f t="shared" si="85"/>
        <v>1.92</v>
      </c>
      <c r="L814" s="462">
        <v>0.99199999999999999</v>
      </c>
      <c r="M814" s="463">
        <v>273000</v>
      </c>
      <c r="N814" s="464">
        <v>0.3</v>
      </c>
      <c r="O814" s="463">
        <f>+M814</f>
        <v>273000</v>
      </c>
      <c r="P814" s="459">
        <f t="shared" si="86"/>
        <v>156000</v>
      </c>
      <c r="Q814" s="463" t="s">
        <v>97</v>
      </c>
      <c r="R814" s="463" t="s">
        <v>97</v>
      </c>
      <c r="S814" s="459">
        <f t="shared" si="87"/>
        <v>156000</v>
      </c>
      <c r="T814" s="460" t="s">
        <v>1071</v>
      </c>
    </row>
    <row r="815" spans="1:20" ht="99" customHeight="1" x14ac:dyDescent="0.3">
      <c r="A815" s="628">
        <v>7</v>
      </c>
      <c r="B815" s="498" t="s">
        <v>93</v>
      </c>
      <c r="C815" s="498" t="s">
        <v>537</v>
      </c>
      <c r="D815" s="499" t="s">
        <v>1021</v>
      </c>
      <c r="E815" s="502" t="s">
        <v>301</v>
      </c>
      <c r="F815" s="458"/>
      <c r="G815" s="551">
        <f>2023-E815</f>
        <v>6</v>
      </c>
      <c r="H815" s="552" t="s">
        <v>95</v>
      </c>
      <c r="I815" s="501">
        <f>1.5*5.6</f>
        <v>8.3999999999999986</v>
      </c>
      <c r="J815" s="461" t="s">
        <v>96</v>
      </c>
      <c r="K815" s="460">
        <f t="shared" si="85"/>
        <v>8.3999999999999986</v>
      </c>
      <c r="L815" s="462">
        <v>0.99199999999999999</v>
      </c>
      <c r="M815" s="463">
        <v>134000</v>
      </c>
      <c r="N815" s="464">
        <v>0.3</v>
      </c>
      <c r="O815" s="463">
        <f>M815</f>
        <v>134000</v>
      </c>
      <c r="P815" s="459">
        <f t="shared" si="86"/>
        <v>335000</v>
      </c>
      <c r="Q815" s="463" t="s">
        <v>97</v>
      </c>
      <c r="R815" s="463" t="s">
        <v>97</v>
      </c>
      <c r="S815" s="459">
        <f t="shared" si="87"/>
        <v>335000</v>
      </c>
      <c r="T815" s="460" t="s">
        <v>1027</v>
      </c>
    </row>
    <row r="816" spans="1:20" ht="99" customHeight="1" x14ac:dyDescent="0.3">
      <c r="A816" s="628" t="s">
        <v>101</v>
      </c>
      <c r="B816" s="498" t="s">
        <v>102</v>
      </c>
      <c r="C816" s="498" t="s">
        <v>538</v>
      </c>
      <c r="D816" s="499" t="s">
        <v>217</v>
      </c>
      <c r="E816" s="502" t="s">
        <v>301</v>
      </c>
      <c r="F816" s="458"/>
      <c r="G816" s="551">
        <f>2023-E816</f>
        <v>6</v>
      </c>
      <c r="H816" s="552" t="s">
        <v>95</v>
      </c>
      <c r="I816" s="501">
        <f>0.1*0.4*5.6</f>
        <v>0.22400000000000003</v>
      </c>
      <c r="J816" s="461" t="s">
        <v>96</v>
      </c>
      <c r="K816" s="629">
        <f t="shared" si="85"/>
        <v>0.22400000000000003</v>
      </c>
      <c r="L816" s="462">
        <v>0.99199999999999999</v>
      </c>
      <c r="M816" s="463">
        <v>2446000</v>
      </c>
      <c r="N816" s="464">
        <v>0.3</v>
      </c>
      <c r="O816" s="463">
        <f>M816*80%*90%*70%</f>
        <v>1232784</v>
      </c>
      <c r="P816" s="459">
        <f t="shared" si="86"/>
        <v>82000</v>
      </c>
      <c r="Q816" s="463" t="s">
        <v>97</v>
      </c>
      <c r="R816" s="463" t="s">
        <v>97</v>
      </c>
      <c r="S816" s="459">
        <f t="shared" si="87"/>
        <v>82000</v>
      </c>
      <c r="T816" s="460" t="s">
        <v>922</v>
      </c>
    </row>
    <row r="817" spans="1:20" ht="99" customHeight="1" x14ac:dyDescent="0.3">
      <c r="A817" s="628">
        <v>8</v>
      </c>
      <c r="B817" s="498" t="s">
        <v>113</v>
      </c>
      <c r="C817" s="498" t="s">
        <v>539</v>
      </c>
      <c r="D817" s="502" t="s">
        <v>241</v>
      </c>
      <c r="E817" s="502" t="s">
        <v>301</v>
      </c>
      <c r="F817" s="458"/>
      <c r="G817" s="551">
        <v>6</v>
      </c>
      <c r="H817" s="552" t="s">
        <v>95</v>
      </c>
      <c r="I817" s="501">
        <f>5.6*5</f>
        <v>28</v>
      </c>
      <c r="J817" s="461" t="s">
        <v>96</v>
      </c>
      <c r="K817" s="629">
        <f>I817-J817</f>
        <v>28</v>
      </c>
      <c r="L817" s="462">
        <v>0.99199999999999999</v>
      </c>
      <c r="M817" s="463">
        <v>418000</v>
      </c>
      <c r="N817" s="464">
        <v>0.3</v>
      </c>
      <c r="O817" s="463">
        <f>M817</f>
        <v>418000</v>
      </c>
      <c r="P817" s="459">
        <f t="shared" si="86"/>
        <v>3483000</v>
      </c>
      <c r="Q817" s="463" t="s">
        <v>97</v>
      </c>
      <c r="R817" s="463" t="s">
        <v>97</v>
      </c>
      <c r="S817" s="459">
        <f t="shared" si="87"/>
        <v>3483000</v>
      </c>
      <c r="T817" s="460" t="s">
        <v>923</v>
      </c>
    </row>
    <row r="818" spans="1:20" ht="99" customHeight="1" x14ac:dyDescent="0.3">
      <c r="A818" s="628">
        <v>9</v>
      </c>
      <c r="B818" s="498" t="s">
        <v>120</v>
      </c>
      <c r="C818" s="498" t="s">
        <v>540</v>
      </c>
      <c r="D818" s="502" t="s">
        <v>241</v>
      </c>
      <c r="E818" s="502" t="s">
        <v>301</v>
      </c>
      <c r="F818" s="458"/>
      <c r="G818" s="551">
        <f>2023-E818</f>
        <v>6</v>
      </c>
      <c r="H818" s="552" t="s">
        <v>95</v>
      </c>
      <c r="I818" s="501">
        <f>5.6*5</f>
        <v>28</v>
      </c>
      <c r="J818" s="461" t="s">
        <v>96</v>
      </c>
      <c r="K818" s="629">
        <f>+I818-J818</f>
        <v>28</v>
      </c>
      <c r="L818" s="462">
        <v>0.99199999999999999</v>
      </c>
      <c r="M818" s="463">
        <v>103000</v>
      </c>
      <c r="N818" s="464">
        <v>0.3</v>
      </c>
      <c r="O818" s="463">
        <f>+M818</f>
        <v>103000</v>
      </c>
      <c r="P818" s="459">
        <f t="shared" si="86"/>
        <v>858000</v>
      </c>
      <c r="Q818" s="463" t="s">
        <v>97</v>
      </c>
      <c r="R818" s="463" t="s">
        <v>97</v>
      </c>
      <c r="S818" s="459">
        <f t="shared" si="87"/>
        <v>858000</v>
      </c>
      <c r="T818" s="460" t="s">
        <v>915</v>
      </c>
    </row>
    <row r="819" spans="1:20" s="19" customFormat="1" ht="53.25" customHeight="1" x14ac:dyDescent="0.3">
      <c r="A819" s="165"/>
      <c r="B819" s="166" t="s">
        <v>55</v>
      </c>
      <c r="C819" s="166"/>
      <c r="D819" s="159"/>
      <c r="E819" s="159"/>
      <c r="F819" s="167"/>
      <c r="G819" s="167"/>
      <c r="H819" s="167"/>
      <c r="I819" s="168"/>
      <c r="J819" s="168"/>
      <c r="K819" s="168"/>
      <c r="L819" s="45"/>
      <c r="M819" s="169"/>
      <c r="N819" s="170"/>
      <c r="O819" s="167"/>
      <c r="P819" s="45"/>
      <c r="Q819" s="45"/>
      <c r="R819" s="45"/>
      <c r="S819" s="45">
        <f>SUM(S809:S818)</f>
        <v>10697000</v>
      </c>
      <c r="T819" s="167"/>
    </row>
    <row r="820" spans="1:20" s="19" customFormat="1" ht="19.5" x14ac:dyDescent="0.3">
      <c r="A820" s="171" t="s">
        <v>131</v>
      </c>
      <c r="B820" s="172" t="s">
        <v>132</v>
      </c>
      <c r="C820" s="173"/>
      <c r="D820" s="466"/>
      <c r="E820" s="466"/>
      <c r="F820" s="466"/>
      <c r="G820" s="466"/>
      <c r="H820" s="466"/>
      <c r="I820" s="467"/>
      <c r="J820" s="466"/>
      <c r="K820" s="468"/>
      <c r="L820" s="468"/>
      <c r="M820" s="466"/>
      <c r="N820" s="468"/>
      <c r="O820" s="466"/>
      <c r="P820" s="469"/>
      <c r="Q820" s="466"/>
      <c r="R820" s="466"/>
      <c r="S820" s="470"/>
      <c r="T820" s="466"/>
    </row>
    <row r="821" spans="1:20" s="19" customFormat="1" ht="19.5" x14ac:dyDescent="0.3">
      <c r="A821" s="171" t="s">
        <v>133</v>
      </c>
      <c r="B821" s="172" t="s">
        <v>134</v>
      </c>
      <c r="C821" s="174"/>
      <c r="D821" s="174"/>
      <c r="E821" s="174"/>
      <c r="F821" s="174"/>
      <c r="G821" s="174"/>
      <c r="H821" s="174"/>
      <c r="I821" s="175"/>
      <c r="J821" s="174"/>
      <c r="K821" s="176"/>
      <c r="L821" s="176"/>
      <c r="M821" s="174"/>
      <c r="N821" s="176"/>
      <c r="O821" s="174"/>
      <c r="P821" s="177"/>
      <c r="Q821" s="174"/>
      <c r="R821" s="174"/>
      <c r="S821" s="174"/>
      <c r="T821" s="174"/>
    </row>
    <row r="822" spans="1:20" s="19" customFormat="1" ht="40.5" customHeight="1" x14ac:dyDescent="0.3">
      <c r="A822" s="178" t="s">
        <v>135</v>
      </c>
      <c r="B822" s="172" t="s">
        <v>541</v>
      </c>
      <c r="C822" s="174"/>
      <c r="D822" s="174"/>
      <c r="E822" s="174"/>
      <c r="F822" s="174"/>
      <c r="G822" s="174"/>
      <c r="H822" s="174"/>
      <c r="I822" s="175"/>
      <c r="J822" s="174"/>
      <c r="K822" s="176"/>
      <c r="L822" s="176"/>
      <c r="M822" s="174"/>
      <c r="N822" s="176"/>
      <c r="O822" s="174"/>
      <c r="P822" s="177"/>
      <c r="Q822" s="174"/>
      <c r="R822" s="174"/>
      <c r="S822" s="29">
        <f>+S819+S804</f>
        <v>10774000</v>
      </c>
      <c r="T822" s="174" t="s">
        <v>137</v>
      </c>
    </row>
    <row r="823" spans="1:20" ht="25.5" customHeight="1" x14ac:dyDescent="0.3">
      <c r="A823" s="474"/>
      <c r="B823" s="829" t="s">
        <v>542</v>
      </c>
      <c r="C823" s="773"/>
      <c r="D823" s="773"/>
      <c r="E823" s="773"/>
      <c r="F823" s="773"/>
      <c r="G823" s="773"/>
      <c r="H823" s="773"/>
      <c r="I823" s="773"/>
      <c r="J823" s="773"/>
      <c r="K823" s="773"/>
      <c r="L823" s="773"/>
      <c r="M823" s="773"/>
      <c r="N823" s="773"/>
      <c r="O823" s="773"/>
      <c r="P823" s="773"/>
      <c r="Q823" s="773"/>
      <c r="R823" s="773"/>
      <c r="S823" s="773"/>
      <c r="T823" s="474"/>
    </row>
    <row r="824" spans="1:20" ht="18.75" customHeight="1" x14ac:dyDescent="0.3">
      <c r="A824" s="474"/>
      <c r="B824" s="772" t="s">
        <v>1</v>
      </c>
      <c r="C824" s="773"/>
      <c r="D824" s="773"/>
      <c r="E824" s="773"/>
      <c r="F824" s="773"/>
      <c r="G824" s="773"/>
      <c r="H824" s="773"/>
      <c r="I824" s="773"/>
      <c r="J824" s="773"/>
      <c r="K824" s="773"/>
      <c r="L824" s="773"/>
      <c r="M824" s="773"/>
      <c r="N824" s="773"/>
      <c r="O824" s="773"/>
      <c r="P824" s="773"/>
      <c r="Q824" s="773"/>
      <c r="R824" s="773"/>
      <c r="S824" s="773"/>
      <c r="T824" s="474"/>
    </row>
    <row r="825" spans="1:20" ht="18.75" customHeight="1" x14ac:dyDescent="0.3">
      <c r="A825" s="474"/>
      <c r="B825" s="772" t="s">
        <v>2</v>
      </c>
      <c r="C825" s="773"/>
      <c r="D825" s="773"/>
      <c r="E825" s="773"/>
      <c r="F825" s="773"/>
      <c r="G825" s="773"/>
      <c r="H825" s="773"/>
      <c r="I825" s="773"/>
      <c r="J825" s="773"/>
      <c r="K825" s="773"/>
      <c r="L825" s="773"/>
      <c r="M825" s="773"/>
      <c r="N825" s="773"/>
      <c r="O825" s="773"/>
      <c r="P825" s="773"/>
      <c r="Q825" s="773"/>
      <c r="R825" s="773"/>
      <c r="S825" s="773"/>
      <c r="T825" s="474"/>
    </row>
    <row r="826" spans="1:20" ht="27.75" customHeight="1" x14ac:dyDescent="0.3">
      <c r="A826" s="475"/>
      <c r="B826" s="809" t="str">
        <f>B790</f>
        <v>(Kèm theo Quyết định số     /QĐ-UBND ngày     tháng     năm 2026 của Ủy ban nhân dân xã Thuận An)</v>
      </c>
      <c r="C826" s="773"/>
      <c r="D826" s="773"/>
      <c r="E826" s="773"/>
      <c r="F826" s="773"/>
      <c r="G826" s="773"/>
      <c r="H826" s="773"/>
      <c r="I826" s="773"/>
      <c r="J826" s="773"/>
      <c r="K826" s="773"/>
      <c r="L826" s="773"/>
      <c r="M826" s="773"/>
      <c r="N826" s="773"/>
      <c r="O826" s="773"/>
      <c r="P826" s="773"/>
      <c r="Q826" s="773"/>
      <c r="R826" s="773"/>
      <c r="S826" s="773"/>
      <c r="T826" s="475"/>
    </row>
    <row r="827" spans="1:20" s="19" customFormat="1" ht="36" customHeight="1" thickBot="1" x14ac:dyDescent="0.35">
      <c r="A827" s="272" t="s">
        <v>3</v>
      </c>
      <c r="B827" s="273" t="s">
        <v>4</v>
      </c>
      <c r="C827" s="233"/>
      <c r="D827" s="233"/>
      <c r="E827" s="233"/>
      <c r="F827" s="233"/>
      <c r="G827" s="233"/>
      <c r="H827" s="233"/>
      <c r="I827" s="234"/>
      <c r="J827" s="233"/>
      <c r="K827" s="235"/>
      <c r="L827" s="235"/>
      <c r="M827" s="233"/>
      <c r="N827" s="235"/>
      <c r="O827" s="233"/>
      <c r="P827" s="236"/>
      <c r="Q827" s="233"/>
      <c r="R827" s="233"/>
      <c r="S827" s="237"/>
      <c r="T827" s="233"/>
    </row>
    <row r="828" spans="1:20" s="19" customFormat="1" ht="44.25" customHeight="1" x14ac:dyDescent="0.3">
      <c r="A828" s="810" t="s">
        <v>5</v>
      </c>
      <c r="B828" s="812" t="s">
        <v>6</v>
      </c>
      <c r="C828" s="814" t="s">
        <v>7</v>
      </c>
      <c r="D828" s="817" t="s">
        <v>959</v>
      </c>
      <c r="E828" s="818"/>
      <c r="F828" s="819"/>
      <c r="G828" s="817" t="s">
        <v>960</v>
      </c>
      <c r="H828" s="818"/>
      <c r="I828" s="819"/>
      <c r="J828" s="817" t="s">
        <v>961</v>
      </c>
      <c r="K828" s="818"/>
      <c r="L828" s="819"/>
      <c r="M828" s="820" t="s">
        <v>8</v>
      </c>
      <c r="N828" s="823" t="s">
        <v>9</v>
      </c>
      <c r="O828" s="823" t="s">
        <v>10</v>
      </c>
      <c r="P828" s="824" t="s">
        <v>11</v>
      </c>
      <c r="Q828" s="824" t="s">
        <v>12</v>
      </c>
      <c r="R828" s="824" t="s">
        <v>13</v>
      </c>
      <c r="S828" s="812" t="s">
        <v>14</v>
      </c>
      <c r="T828" s="825" t="s">
        <v>15</v>
      </c>
    </row>
    <row r="829" spans="1:20" s="19" customFormat="1" ht="30.75" customHeight="1" x14ac:dyDescent="0.3">
      <c r="A829" s="811"/>
      <c r="B829" s="813"/>
      <c r="C829" s="815"/>
      <c r="D829" s="827" t="s">
        <v>16</v>
      </c>
      <c r="E829" s="803" t="s">
        <v>17</v>
      </c>
      <c r="F829" s="828"/>
      <c r="G829" s="827" t="s">
        <v>16</v>
      </c>
      <c r="H829" s="803" t="s">
        <v>17</v>
      </c>
      <c r="I829" s="828"/>
      <c r="J829" s="800" t="s">
        <v>18</v>
      </c>
      <c r="K829" s="803" t="s">
        <v>17</v>
      </c>
      <c r="L829" s="828"/>
      <c r="M829" s="821"/>
      <c r="N829" s="813"/>
      <c r="O829" s="813"/>
      <c r="P829" s="813"/>
      <c r="Q829" s="813"/>
      <c r="R829" s="813"/>
      <c r="S829" s="813"/>
      <c r="T829" s="826"/>
    </row>
    <row r="830" spans="1:20" s="19" customFormat="1" ht="58.5" customHeight="1" x14ac:dyDescent="0.3">
      <c r="A830" s="801"/>
      <c r="B830" s="766"/>
      <c r="C830" s="816"/>
      <c r="D830" s="801"/>
      <c r="E830" s="167" t="s">
        <v>962</v>
      </c>
      <c r="F830" s="185" t="s">
        <v>963</v>
      </c>
      <c r="G830" s="801"/>
      <c r="H830" s="167" t="s">
        <v>962</v>
      </c>
      <c r="I830" s="186" t="s">
        <v>963</v>
      </c>
      <c r="J830" s="801"/>
      <c r="K830" s="167" t="s">
        <v>962</v>
      </c>
      <c r="L830" s="185" t="s">
        <v>963</v>
      </c>
      <c r="M830" s="822"/>
      <c r="N830" s="766"/>
      <c r="O830" s="766"/>
      <c r="P830" s="766"/>
      <c r="Q830" s="766"/>
      <c r="R830" s="766"/>
      <c r="S830" s="766"/>
      <c r="T830" s="808"/>
    </row>
    <row r="831" spans="1:20" s="19" customFormat="1" ht="96" customHeight="1" x14ac:dyDescent="0.3">
      <c r="A831" s="179" t="s">
        <v>543</v>
      </c>
      <c r="B831" s="44" t="s">
        <v>544</v>
      </c>
      <c r="C831" s="49" t="s">
        <v>746</v>
      </c>
      <c r="D831" s="180">
        <f>E831+F831</f>
        <v>317.5</v>
      </c>
      <c r="E831" s="143">
        <v>90</v>
      </c>
      <c r="F831" s="181">
        <v>227.5</v>
      </c>
      <c r="G831" s="180">
        <f>+H831+I831</f>
        <v>147</v>
      </c>
      <c r="H831" s="143">
        <v>90</v>
      </c>
      <c r="I831" s="182">
        <v>57</v>
      </c>
      <c r="J831" s="180">
        <f>K831+L831</f>
        <v>33.6</v>
      </c>
      <c r="K831" s="143">
        <v>0</v>
      </c>
      <c r="L831" s="181">
        <v>33.6</v>
      </c>
      <c r="M831" s="377">
        <v>0</v>
      </c>
      <c r="N831" s="183">
        <f>L831/F831</f>
        <v>0.14769230769230771</v>
      </c>
      <c r="O831" s="142" t="s">
        <v>21</v>
      </c>
      <c r="P831" s="144" t="s">
        <v>140</v>
      </c>
      <c r="Q831" s="144" t="s">
        <v>23</v>
      </c>
      <c r="R831" s="138" t="s">
        <v>24</v>
      </c>
      <c r="S831" s="138" t="s">
        <v>25</v>
      </c>
      <c r="T831" s="184" t="s">
        <v>545</v>
      </c>
    </row>
    <row r="832" spans="1:20" s="19" customFormat="1" ht="18.75" customHeight="1" x14ac:dyDescent="0.3">
      <c r="A832" s="272" t="s">
        <v>27</v>
      </c>
      <c r="B832" s="273" t="s">
        <v>777</v>
      </c>
      <c r="C832" s="233"/>
      <c r="D832" s="233"/>
      <c r="E832" s="233"/>
      <c r="F832" s="233"/>
      <c r="G832" s="233"/>
      <c r="H832" s="233"/>
      <c r="I832" s="234"/>
      <c r="J832" s="233"/>
      <c r="K832" s="235"/>
      <c r="L832" s="235"/>
      <c r="M832" s="233"/>
      <c r="N832" s="235"/>
      <c r="O832" s="233"/>
      <c r="P832" s="236"/>
      <c r="Q832" s="233"/>
      <c r="R832" s="233"/>
      <c r="S832" s="233"/>
      <c r="T832" s="233"/>
    </row>
    <row r="833" spans="1:20" s="19" customFormat="1" ht="47.25" customHeight="1" x14ac:dyDescent="0.3">
      <c r="A833" s="781" t="s">
        <v>5</v>
      </c>
      <c r="B833" s="783" t="s">
        <v>663</v>
      </c>
      <c r="C833" s="783" t="s">
        <v>664</v>
      </c>
      <c r="D833" s="785" t="s">
        <v>665</v>
      </c>
      <c r="E833" s="786"/>
      <c r="F833" s="786"/>
      <c r="G833" s="787"/>
      <c r="H833" s="788" t="s">
        <v>666</v>
      </c>
      <c r="I833" s="790" t="s">
        <v>667</v>
      </c>
      <c r="J833" s="760"/>
      <c r="K833" s="791"/>
      <c r="L833" s="792" t="s">
        <v>668</v>
      </c>
      <c r="M833" s="793"/>
      <c r="N833" s="794" t="s">
        <v>43</v>
      </c>
      <c r="O833" s="783" t="s">
        <v>669</v>
      </c>
      <c r="P833" s="796" t="s">
        <v>670</v>
      </c>
      <c r="Q833" s="796" t="s">
        <v>42</v>
      </c>
      <c r="R833" s="783" t="s">
        <v>671</v>
      </c>
      <c r="S833" s="783" t="s">
        <v>44</v>
      </c>
      <c r="T833" s="798" t="s">
        <v>15</v>
      </c>
    </row>
    <row r="834" spans="1:20" s="19" customFormat="1" ht="109.5" customHeight="1" x14ac:dyDescent="0.3">
      <c r="A834" s="782"/>
      <c r="B834" s="784"/>
      <c r="C834" s="784"/>
      <c r="D834" s="407" t="s">
        <v>672</v>
      </c>
      <c r="E834" s="407" t="s">
        <v>673</v>
      </c>
      <c r="F834" s="407" t="s">
        <v>759</v>
      </c>
      <c r="G834" s="407" t="s">
        <v>17</v>
      </c>
      <c r="H834" s="789"/>
      <c r="I834" s="125" t="s">
        <v>674</v>
      </c>
      <c r="J834" s="418" t="s">
        <v>675</v>
      </c>
      <c r="K834" s="81" t="s">
        <v>676</v>
      </c>
      <c r="L834" s="82" t="s">
        <v>677</v>
      </c>
      <c r="M834" s="83" t="s">
        <v>678</v>
      </c>
      <c r="N834" s="795"/>
      <c r="O834" s="784"/>
      <c r="P834" s="797"/>
      <c r="Q834" s="797"/>
      <c r="R834" s="784"/>
      <c r="S834" s="784"/>
      <c r="T834" s="799"/>
    </row>
    <row r="835" spans="1:20" s="19" customFormat="1" ht="101.25" customHeight="1" x14ac:dyDescent="0.3">
      <c r="A835" s="226" t="s">
        <v>19</v>
      </c>
      <c r="B835" s="227" t="s">
        <v>679</v>
      </c>
      <c r="C835" s="228" t="s">
        <v>815</v>
      </c>
      <c r="D835" s="418" t="s">
        <v>425</v>
      </c>
      <c r="E835" s="418" t="s">
        <v>680</v>
      </c>
      <c r="F835" s="419">
        <v>33.6</v>
      </c>
      <c r="G835" s="420" t="s">
        <v>681</v>
      </c>
      <c r="H835" s="229" t="s">
        <v>816</v>
      </c>
      <c r="I835" s="125">
        <v>33.6</v>
      </c>
      <c r="J835" s="419">
        <v>0</v>
      </c>
      <c r="K835" s="419">
        <f>I835+J835</f>
        <v>33.6</v>
      </c>
      <c r="L835" s="82">
        <v>0</v>
      </c>
      <c r="M835" s="83"/>
      <c r="N835" s="230">
        <v>1</v>
      </c>
      <c r="O835" s="423">
        <v>1</v>
      </c>
      <c r="P835" s="231">
        <v>856000</v>
      </c>
      <c r="Q835" s="231">
        <f>+ROUND((P835*N835*K835),-3)</f>
        <v>28762000</v>
      </c>
      <c r="R835" s="231">
        <f>-ROUND((38000*J835*0.5%),-3)</f>
        <v>0</v>
      </c>
      <c r="S835" s="408">
        <f>+Q835+R835</f>
        <v>28762000</v>
      </c>
      <c r="T835" s="232" t="s">
        <v>833</v>
      </c>
    </row>
    <row r="836" spans="1:20" s="19" customFormat="1" ht="18.75" customHeight="1" x14ac:dyDescent="0.3">
      <c r="A836" s="272" t="s">
        <v>28</v>
      </c>
      <c r="B836" s="273" t="s">
        <v>315</v>
      </c>
      <c r="C836" s="233"/>
      <c r="D836" s="233"/>
      <c r="E836" s="233"/>
      <c r="F836" s="233"/>
      <c r="G836" s="233"/>
      <c r="H836" s="233"/>
      <c r="I836" s="234"/>
      <c r="J836" s="233"/>
      <c r="K836" s="235"/>
      <c r="L836" s="235"/>
      <c r="M836" s="233"/>
      <c r="N836" s="235"/>
      <c r="O836" s="233"/>
      <c r="P836" s="236"/>
      <c r="Q836" s="237"/>
      <c r="R836" s="237"/>
      <c r="S836" s="238">
        <f>S840</f>
        <v>77000</v>
      </c>
      <c r="T836" s="233"/>
    </row>
    <row r="837" spans="1:20" s="19" customFormat="1" ht="54" customHeight="1" x14ac:dyDescent="0.3">
      <c r="A837" s="800" t="s">
        <v>5</v>
      </c>
      <c r="B837" s="802" t="s">
        <v>30</v>
      </c>
      <c r="C837" s="802" t="s">
        <v>31</v>
      </c>
      <c r="D837" s="802" t="s">
        <v>32</v>
      </c>
      <c r="E837" s="803" t="s">
        <v>33</v>
      </c>
      <c r="F837" s="758"/>
      <c r="G837" s="802" t="s">
        <v>34</v>
      </c>
      <c r="H837" s="802" t="s">
        <v>35</v>
      </c>
      <c r="I837" s="804" t="s">
        <v>36</v>
      </c>
      <c r="J837" s="758"/>
      <c r="K837" s="769" t="s">
        <v>37</v>
      </c>
      <c r="L837" s="769" t="s">
        <v>38</v>
      </c>
      <c r="M837" s="805" t="s">
        <v>39</v>
      </c>
      <c r="N837" s="802" t="s">
        <v>839</v>
      </c>
      <c r="O837" s="802" t="s">
        <v>967</v>
      </c>
      <c r="P837" s="806" t="s">
        <v>41</v>
      </c>
      <c r="Q837" s="806" t="s">
        <v>42</v>
      </c>
      <c r="R837" s="802" t="s">
        <v>43</v>
      </c>
      <c r="S837" s="802" t="s">
        <v>44</v>
      </c>
      <c r="T837" s="807" t="s">
        <v>15</v>
      </c>
    </row>
    <row r="838" spans="1:20" s="19" customFormat="1" ht="72.75" customHeight="1" x14ac:dyDescent="0.3">
      <c r="A838" s="801"/>
      <c r="B838" s="766"/>
      <c r="C838" s="766"/>
      <c r="D838" s="766"/>
      <c r="E838" s="167" t="s">
        <v>45</v>
      </c>
      <c r="F838" s="167" t="s">
        <v>46</v>
      </c>
      <c r="G838" s="766"/>
      <c r="H838" s="766"/>
      <c r="I838" s="140" t="s">
        <v>47</v>
      </c>
      <c r="J838" s="143" t="s">
        <v>48</v>
      </c>
      <c r="K838" s="766"/>
      <c r="L838" s="766"/>
      <c r="M838" s="766"/>
      <c r="N838" s="766"/>
      <c r="O838" s="766"/>
      <c r="P838" s="766"/>
      <c r="Q838" s="766"/>
      <c r="R838" s="766"/>
      <c r="S838" s="766"/>
      <c r="T838" s="808"/>
    </row>
    <row r="839" spans="1:20" s="19" customFormat="1" ht="64.5" customHeight="1" x14ac:dyDescent="0.3">
      <c r="A839" s="136" t="s">
        <v>19</v>
      </c>
      <c r="B839" s="156" t="s">
        <v>149</v>
      </c>
      <c r="C839" s="156" t="s">
        <v>969</v>
      </c>
      <c r="D839" s="52"/>
      <c r="E839" s="138" t="s">
        <v>27</v>
      </c>
      <c r="F839" s="139" t="s">
        <v>52</v>
      </c>
      <c r="G839" s="138" t="s">
        <v>146</v>
      </c>
      <c r="H839" s="138" t="s">
        <v>21</v>
      </c>
      <c r="I839" s="140" t="s">
        <v>200</v>
      </c>
      <c r="J839" s="141">
        <f>2026-I839</f>
        <v>11</v>
      </c>
      <c r="K839" s="142">
        <v>1</v>
      </c>
      <c r="L839" s="142">
        <f>K839</f>
        <v>1</v>
      </c>
      <c r="M839" s="52" t="s">
        <v>54</v>
      </c>
      <c r="N839" s="143">
        <f>10000/1750</f>
        <v>5.7142857142857144</v>
      </c>
      <c r="O839" s="143">
        <f>N839*L839</f>
        <v>5.7142857142857144</v>
      </c>
      <c r="P839" s="144">
        <v>77000</v>
      </c>
      <c r="Q839" s="144">
        <f>+ROUND((L839*P839),-3)</f>
        <v>77000</v>
      </c>
      <c r="R839" s="145">
        <v>1</v>
      </c>
      <c r="S839" s="144">
        <f>+ROUND((Q839*R839),-3)</f>
        <v>77000</v>
      </c>
      <c r="T839" s="52" t="s">
        <v>407</v>
      </c>
    </row>
    <row r="840" spans="1:20" s="19" customFormat="1" ht="48.75" customHeight="1" x14ac:dyDescent="0.3">
      <c r="A840" s="239"/>
      <c r="B840" s="166" t="s">
        <v>55</v>
      </c>
      <c r="C840" s="166"/>
      <c r="D840" s="240"/>
      <c r="E840" s="159"/>
      <c r="F840" s="167"/>
      <c r="G840" s="167"/>
      <c r="H840" s="167"/>
      <c r="I840" s="168"/>
      <c r="J840" s="167"/>
      <c r="K840" s="241"/>
      <c r="L840" s="241"/>
      <c r="M840" s="169"/>
      <c r="N840" s="170"/>
      <c r="O840" s="167"/>
      <c r="P840" s="45"/>
      <c r="Q840" s="45"/>
      <c r="R840" s="45"/>
      <c r="S840" s="45">
        <f>S839</f>
        <v>77000</v>
      </c>
      <c r="T840" s="185"/>
    </row>
    <row r="841" spans="1:20" s="19" customFormat="1" ht="39" customHeight="1" x14ac:dyDescent="0.3">
      <c r="A841" s="272" t="s">
        <v>56</v>
      </c>
      <c r="B841" s="273" t="s">
        <v>546</v>
      </c>
      <c r="C841" s="233"/>
      <c r="D841" s="233"/>
      <c r="E841" s="233"/>
      <c r="F841" s="233"/>
      <c r="G841" s="233"/>
      <c r="H841" s="233"/>
      <c r="I841" s="234"/>
      <c r="J841" s="233"/>
      <c r="K841" s="235"/>
      <c r="L841" s="235"/>
      <c r="M841" s="233"/>
      <c r="N841" s="235"/>
      <c r="O841" s="233"/>
      <c r="P841" s="236"/>
      <c r="Q841" s="233"/>
      <c r="R841" s="233"/>
      <c r="S841" s="237"/>
      <c r="T841" s="233"/>
    </row>
    <row r="842" spans="1:20" s="19" customFormat="1" ht="39" customHeight="1" x14ac:dyDescent="0.3">
      <c r="A842" s="171" t="s">
        <v>131</v>
      </c>
      <c r="B842" s="172" t="s">
        <v>132</v>
      </c>
      <c r="C842" s="173"/>
      <c r="D842" s="466"/>
      <c r="E842" s="466"/>
      <c r="F842" s="466"/>
      <c r="G842" s="466"/>
      <c r="H842" s="466"/>
      <c r="I842" s="467"/>
      <c r="J842" s="466"/>
      <c r="K842" s="468"/>
      <c r="L842" s="468"/>
      <c r="M842" s="466"/>
      <c r="N842" s="468"/>
      <c r="O842" s="466"/>
      <c r="P842" s="469"/>
      <c r="Q842" s="466"/>
      <c r="R842" s="466"/>
      <c r="S842" s="470"/>
      <c r="T842" s="466"/>
    </row>
    <row r="843" spans="1:20" s="19" customFormat="1" ht="39" customHeight="1" x14ac:dyDescent="0.3">
      <c r="A843" s="171" t="s">
        <v>133</v>
      </c>
      <c r="B843" s="172" t="s">
        <v>134</v>
      </c>
      <c r="C843" s="174"/>
      <c r="D843" s="174"/>
      <c r="E843" s="174"/>
      <c r="F843" s="174"/>
      <c r="G843" s="174"/>
      <c r="H843" s="174"/>
      <c r="I843" s="175"/>
      <c r="J843" s="174"/>
      <c r="K843" s="176"/>
      <c r="L843" s="176"/>
      <c r="M843" s="174"/>
      <c r="N843" s="176"/>
      <c r="O843" s="174"/>
      <c r="P843" s="177"/>
      <c r="Q843" s="174"/>
      <c r="R843" s="174"/>
      <c r="S843" s="174"/>
      <c r="T843" s="174"/>
    </row>
    <row r="844" spans="1:20" s="19" customFormat="1" ht="39" customHeight="1" x14ac:dyDescent="0.3">
      <c r="A844" s="178" t="s">
        <v>135</v>
      </c>
      <c r="B844" s="756" t="s">
        <v>547</v>
      </c>
      <c r="C844" s="757"/>
      <c r="D844" s="757"/>
      <c r="E844" s="757"/>
      <c r="F844" s="757"/>
      <c r="G844" s="757"/>
      <c r="H844" s="757"/>
      <c r="I844" s="757"/>
      <c r="J844" s="757"/>
      <c r="K844" s="757"/>
      <c r="L844" s="757"/>
      <c r="M844" s="757"/>
      <c r="N844" s="757"/>
      <c r="O844" s="757"/>
      <c r="P844" s="757"/>
      <c r="Q844" s="757"/>
      <c r="R844" s="758"/>
      <c r="S844" s="29">
        <f>+S840</f>
        <v>77000</v>
      </c>
      <c r="T844" s="174" t="s">
        <v>137</v>
      </c>
    </row>
    <row r="845" spans="1:20" ht="23.25" customHeight="1" x14ac:dyDescent="0.3">
      <c r="A845" s="474"/>
      <c r="B845" s="829" t="s">
        <v>548</v>
      </c>
      <c r="C845" s="773"/>
      <c r="D845" s="773"/>
      <c r="E845" s="773"/>
      <c r="F845" s="773"/>
      <c r="G845" s="773"/>
      <c r="H845" s="773"/>
      <c r="I845" s="773"/>
      <c r="J845" s="773"/>
      <c r="K845" s="773"/>
      <c r="L845" s="773"/>
      <c r="M845" s="773"/>
      <c r="N845" s="773"/>
      <c r="O845" s="773"/>
      <c r="P845" s="773"/>
      <c r="Q845" s="773"/>
      <c r="R845" s="773"/>
      <c r="S845" s="773"/>
      <c r="T845" s="474"/>
    </row>
    <row r="846" spans="1:20" ht="18.75" customHeight="1" x14ac:dyDescent="0.3">
      <c r="A846" s="474"/>
      <c r="B846" s="772" t="s">
        <v>1</v>
      </c>
      <c r="C846" s="773"/>
      <c r="D846" s="773"/>
      <c r="E846" s="773"/>
      <c r="F846" s="773"/>
      <c r="G846" s="773"/>
      <c r="H846" s="773"/>
      <c r="I846" s="773"/>
      <c r="J846" s="773"/>
      <c r="K846" s="773"/>
      <c r="L846" s="773"/>
      <c r="M846" s="773"/>
      <c r="N846" s="773"/>
      <c r="O846" s="773"/>
      <c r="P846" s="773"/>
      <c r="Q846" s="773"/>
      <c r="R846" s="773"/>
      <c r="S846" s="773"/>
      <c r="T846" s="474"/>
    </row>
    <row r="847" spans="1:20" ht="18.75" customHeight="1" x14ac:dyDescent="0.3">
      <c r="A847" s="474"/>
      <c r="B847" s="772" t="s">
        <v>2</v>
      </c>
      <c r="C847" s="773"/>
      <c r="D847" s="773"/>
      <c r="E847" s="773"/>
      <c r="F847" s="773"/>
      <c r="G847" s="773"/>
      <c r="H847" s="773"/>
      <c r="I847" s="773"/>
      <c r="J847" s="773"/>
      <c r="K847" s="773"/>
      <c r="L847" s="773"/>
      <c r="M847" s="773"/>
      <c r="N847" s="773"/>
      <c r="O847" s="773"/>
      <c r="P847" s="773"/>
      <c r="Q847" s="773"/>
      <c r="R847" s="773"/>
      <c r="S847" s="773"/>
      <c r="T847" s="474"/>
    </row>
    <row r="848" spans="1:20" ht="25.5" customHeight="1" x14ac:dyDescent="0.3">
      <c r="A848" s="475"/>
      <c r="B848" s="809" t="str">
        <f>B826</f>
        <v>(Kèm theo Quyết định số     /QĐ-UBND ngày     tháng     năm 2026 của Ủy ban nhân dân xã Thuận An)</v>
      </c>
      <c r="C848" s="773"/>
      <c r="D848" s="773"/>
      <c r="E848" s="773"/>
      <c r="F848" s="773"/>
      <c r="G848" s="773"/>
      <c r="H848" s="773"/>
      <c r="I848" s="773"/>
      <c r="J848" s="773"/>
      <c r="K848" s="773"/>
      <c r="L848" s="773"/>
      <c r="M848" s="773"/>
      <c r="N848" s="773"/>
      <c r="O848" s="773"/>
      <c r="P848" s="773"/>
      <c r="Q848" s="773"/>
      <c r="R848" s="773"/>
      <c r="S848" s="773"/>
      <c r="T848" s="475"/>
    </row>
    <row r="849" spans="1:20" s="19" customFormat="1" ht="36" customHeight="1" thickBot="1" x14ac:dyDescent="0.35">
      <c r="A849" s="272" t="s">
        <v>3</v>
      </c>
      <c r="B849" s="273" t="s">
        <v>4</v>
      </c>
      <c r="C849" s="233"/>
      <c r="D849" s="233"/>
      <c r="E849" s="233"/>
      <c r="F849" s="233"/>
      <c r="G849" s="233"/>
      <c r="H849" s="233"/>
      <c r="I849" s="234"/>
      <c r="J849" s="233"/>
      <c r="K849" s="235"/>
      <c r="L849" s="235"/>
      <c r="M849" s="233"/>
      <c r="N849" s="235"/>
      <c r="O849" s="233"/>
      <c r="P849" s="236"/>
      <c r="Q849" s="233"/>
      <c r="R849" s="233"/>
      <c r="S849" s="237"/>
      <c r="T849" s="233"/>
    </row>
    <row r="850" spans="1:20" s="19" customFormat="1" ht="44.25" customHeight="1" x14ac:dyDescent="0.3">
      <c r="A850" s="810" t="s">
        <v>5</v>
      </c>
      <c r="B850" s="812" t="s">
        <v>6</v>
      </c>
      <c r="C850" s="814" t="s">
        <v>7</v>
      </c>
      <c r="D850" s="817" t="s">
        <v>959</v>
      </c>
      <c r="E850" s="818"/>
      <c r="F850" s="819"/>
      <c r="G850" s="817" t="s">
        <v>960</v>
      </c>
      <c r="H850" s="818"/>
      <c r="I850" s="819"/>
      <c r="J850" s="817" t="s">
        <v>961</v>
      </c>
      <c r="K850" s="818"/>
      <c r="L850" s="819"/>
      <c r="M850" s="820" t="s">
        <v>8</v>
      </c>
      <c r="N850" s="823" t="s">
        <v>9</v>
      </c>
      <c r="O850" s="823" t="s">
        <v>10</v>
      </c>
      <c r="P850" s="824" t="s">
        <v>11</v>
      </c>
      <c r="Q850" s="824" t="s">
        <v>12</v>
      </c>
      <c r="R850" s="824" t="s">
        <v>13</v>
      </c>
      <c r="S850" s="812" t="s">
        <v>14</v>
      </c>
      <c r="T850" s="825" t="s">
        <v>15</v>
      </c>
    </row>
    <row r="851" spans="1:20" s="19" customFormat="1" ht="30.75" customHeight="1" x14ac:dyDescent="0.3">
      <c r="A851" s="811"/>
      <c r="B851" s="813"/>
      <c r="C851" s="815"/>
      <c r="D851" s="827" t="s">
        <v>16</v>
      </c>
      <c r="E851" s="803" t="s">
        <v>17</v>
      </c>
      <c r="F851" s="828"/>
      <c r="G851" s="827" t="s">
        <v>16</v>
      </c>
      <c r="H851" s="803" t="s">
        <v>17</v>
      </c>
      <c r="I851" s="828"/>
      <c r="J851" s="800" t="s">
        <v>18</v>
      </c>
      <c r="K851" s="803" t="s">
        <v>17</v>
      </c>
      <c r="L851" s="828"/>
      <c r="M851" s="821"/>
      <c r="N851" s="813"/>
      <c r="O851" s="813"/>
      <c r="P851" s="813"/>
      <c r="Q851" s="813"/>
      <c r="R851" s="813"/>
      <c r="S851" s="813"/>
      <c r="T851" s="826"/>
    </row>
    <row r="852" spans="1:20" s="19" customFormat="1" ht="58.5" customHeight="1" x14ac:dyDescent="0.3">
      <c r="A852" s="801"/>
      <c r="B852" s="766"/>
      <c r="C852" s="816"/>
      <c r="D852" s="801"/>
      <c r="E852" s="167" t="s">
        <v>962</v>
      </c>
      <c r="F852" s="185" t="s">
        <v>963</v>
      </c>
      <c r="G852" s="801"/>
      <c r="H852" s="167" t="s">
        <v>962</v>
      </c>
      <c r="I852" s="186" t="s">
        <v>963</v>
      </c>
      <c r="J852" s="801"/>
      <c r="K852" s="167" t="s">
        <v>962</v>
      </c>
      <c r="L852" s="185" t="s">
        <v>963</v>
      </c>
      <c r="M852" s="822"/>
      <c r="N852" s="766"/>
      <c r="O852" s="766"/>
      <c r="P852" s="766"/>
      <c r="Q852" s="766"/>
      <c r="R852" s="766"/>
      <c r="S852" s="766"/>
      <c r="T852" s="808"/>
    </row>
    <row r="853" spans="1:20" s="19" customFormat="1" ht="96" customHeight="1" x14ac:dyDescent="0.3">
      <c r="A853" s="179" t="s">
        <v>549</v>
      </c>
      <c r="B853" s="44" t="s">
        <v>550</v>
      </c>
      <c r="C853" s="49" t="s">
        <v>741</v>
      </c>
      <c r="D853" s="180">
        <f>E853+F853</f>
        <v>423</v>
      </c>
      <c r="E853" s="143">
        <f>232.2+90</f>
        <v>322.2</v>
      </c>
      <c r="F853" s="181">
        <f>57+43.8</f>
        <v>100.8</v>
      </c>
      <c r="G853" s="180">
        <f>+H853+I853</f>
        <v>423</v>
      </c>
      <c r="H853" s="143">
        <f>232.2+90</f>
        <v>322.2</v>
      </c>
      <c r="I853" s="182">
        <f>57+43.8</f>
        <v>100.8</v>
      </c>
      <c r="J853" s="180">
        <f>K853+L853</f>
        <v>86.399999999999991</v>
      </c>
      <c r="K853" s="143">
        <f>7+2.3</f>
        <v>9.3000000000000007</v>
      </c>
      <c r="L853" s="181">
        <f>33.3+43.8</f>
        <v>77.099999999999994</v>
      </c>
      <c r="M853" s="377">
        <v>0</v>
      </c>
      <c r="N853" s="183">
        <f>L853/F853</f>
        <v>0.76488095238095233</v>
      </c>
      <c r="O853" s="142" t="s">
        <v>21</v>
      </c>
      <c r="P853" s="144" t="s">
        <v>140</v>
      </c>
      <c r="Q853" s="144" t="s">
        <v>23</v>
      </c>
      <c r="R853" s="138" t="s">
        <v>24</v>
      </c>
      <c r="S853" s="138" t="s">
        <v>25</v>
      </c>
      <c r="T853" s="184" t="s">
        <v>551</v>
      </c>
    </row>
    <row r="854" spans="1:20" s="19" customFormat="1" ht="18.75" customHeight="1" x14ac:dyDescent="0.3">
      <c r="A854" s="272" t="s">
        <v>27</v>
      </c>
      <c r="B854" s="273" t="s">
        <v>777</v>
      </c>
      <c r="C854" s="233"/>
      <c r="D854" s="233"/>
      <c r="E854" s="233"/>
      <c r="F854" s="233"/>
      <c r="G854" s="233"/>
      <c r="H854" s="233"/>
      <c r="I854" s="234"/>
      <c r="J854" s="233"/>
      <c r="K854" s="235"/>
      <c r="L854" s="235"/>
      <c r="M854" s="233"/>
      <c r="N854" s="235"/>
      <c r="O854" s="233"/>
      <c r="P854" s="236"/>
      <c r="Q854" s="233"/>
      <c r="R854" s="233"/>
      <c r="S854" s="233"/>
      <c r="T854" s="233"/>
    </row>
    <row r="855" spans="1:20" s="19" customFormat="1" ht="47.25" customHeight="1" x14ac:dyDescent="0.3">
      <c r="A855" s="781" t="s">
        <v>5</v>
      </c>
      <c r="B855" s="783" t="s">
        <v>663</v>
      </c>
      <c r="C855" s="783" t="s">
        <v>664</v>
      </c>
      <c r="D855" s="785" t="s">
        <v>665</v>
      </c>
      <c r="E855" s="786"/>
      <c r="F855" s="786"/>
      <c r="G855" s="787"/>
      <c r="H855" s="788" t="s">
        <v>666</v>
      </c>
      <c r="I855" s="790" t="s">
        <v>667</v>
      </c>
      <c r="J855" s="760"/>
      <c r="K855" s="791"/>
      <c r="L855" s="792" t="s">
        <v>668</v>
      </c>
      <c r="M855" s="793"/>
      <c r="N855" s="794" t="s">
        <v>43</v>
      </c>
      <c r="O855" s="783" t="s">
        <v>669</v>
      </c>
      <c r="P855" s="796" t="s">
        <v>670</v>
      </c>
      <c r="Q855" s="796" t="s">
        <v>42</v>
      </c>
      <c r="R855" s="783" t="s">
        <v>671</v>
      </c>
      <c r="S855" s="783" t="s">
        <v>44</v>
      </c>
      <c r="T855" s="798" t="s">
        <v>15</v>
      </c>
    </row>
    <row r="856" spans="1:20" s="19" customFormat="1" ht="86.45" customHeight="1" x14ac:dyDescent="0.3">
      <c r="A856" s="782"/>
      <c r="B856" s="784"/>
      <c r="C856" s="784"/>
      <c r="D856" s="407" t="s">
        <v>672</v>
      </c>
      <c r="E856" s="407" t="s">
        <v>673</v>
      </c>
      <c r="F856" s="407" t="s">
        <v>759</v>
      </c>
      <c r="G856" s="407" t="s">
        <v>17</v>
      </c>
      <c r="H856" s="789"/>
      <c r="I856" s="125" t="s">
        <v>674</v>
      </c>
      <c r="J856" s="418" t="s">
        <v>675</v>
      </c>
      <c r="K856" s="81" t="s">
        <v>676</v>
      </c>
      <c r="L856" s="82" t="s">
        <v>677</v>
      </c>
      <c r="M856" s="83" t="s">
        <v>678</v>
      </c>
      <c r="N856" s="795"/>
      <c r="O856" s="784"/>
      <c r="P856" s="797"/>
      <c r="Q856" s="797"/>
      <c r="R856" s="784"/>
      <c r="S856" s="784"/>
      <c r="T856" s="799"/>
    </row>
    <row r="857" spans="1:20" s="19" customFormat="1" ht="93" customHeight="1" x14ac:dyDescent="0.3">
      <c r="A857" s="226" t="s">
        <v>19</v>
      </c>
      <c r="B857" s="227" t="s">
        <v>679</v>
      </c>
      <c r="C857" s="422" t="s">
        <v>817</v>
      </c>
      <c r="D857" s="409" t="s">
        <v>433</v>
      </c>
      <c r="E857" s="409" t="s">
        <v>680</v>
      </c>
      <c r="F857" s="411">
        <v>33.299999999999997</v>
      </c>
      <c r="G857" s="243" t="s">
        <v>681</v>
      </c>
      <c r="H857" s="413" t="s">
        <v>818</v>
      </c>
      <c r="I857" s="125">
        <v>33.299999999999997</v>
      </c>
      <c r="J857" s="419">
        <v>0</v>
      </c>
      <c r="K857" s="419">
        <f>I857+J857</f>
        <v>33.299999999999997</v>
      </c>
      <c r="L857" s="82">
        <v>0</v>
      </c>
      <c r="M857" s="83"/>
      <c r="N857" s="230">
        <v>1</v>
      </c>
      <c r="O857" s="423">
        <v>1</v>
      </c>
      <c r="P857" s="231">
        <v>856000</v>
      </c>
      <c r="Q857" s="231">
        <f>+ROUND((P857*N857*K857),-3)</f>
        <v>28505000</v>
      </c>
      <c r="R857" s="231">
        <f>-ROUND((38000*J857*0.5%),-3)</f>
        <v>0</v>
      </c>
      <c r="S857" s="408">
        <f>+Q857+R857</f>
        <v>28505000</v>
      </c>
      <c r="T857" s="830" t="s">
        <v>833</v>
      </c>
    </row>
    <row r="858" spans="1:20" s="19" customFormat="1" ht="93" customHeight="1" x14ac:dyDescent="0.3">
      <c r="A858" s="226" t="s">
        <v>98</v>
      </c>
      <c r="B858" s="227" t="s">
        <v>819</v>
      </c>
      <c r="C858" s="422" t="s">
        <v>820</v>
      </c>
      <c r="D858" s="840" t="s">
        <v>543</v>
      </c>
      <c r="E858" s="840" t="s">
        <v>680</v>
      </c>
      <c r="F858" s="842">
        <v>53.1</v>
      </c>
      <c r="G858" s="243" t="s">
        <v>791</v>
      </c>
      <c r="H858" s="844" t="s">
        <v>821</v>
      </c>
      <c r="I858" s="125">
        <v>7</v>
      </c>
      <c r="J858" s="419">
        <v>0</v>
      </c>
      <c r="K858" s="419">
        <f>I858+J858</f>
        <v>7</v>
      </c>
      <c r="L858" s="82"/>
      <c r="M858" s="83"/>
      <c r="N858" s="230">
        <v>1</v>
      </c>
      <c r="O858" s="423">
        <v>1</v>
      </c>
      <c r="P858" s="231">
        <v>6572000</v>
      </c>
      <c r="Q858" s="231">
        <f>+ROUND((P858*N858*K858),-3)</f>
        <v>46004000</v>
      </c>
      <c r="R858" s="231">
        <f>-ROUND((38000*J858*0.5%),-3)</f>
        <v>0</v>
      </c>
      <c r="S858" s="408">
        <f>+Q858+R858</f>
        <v>46004000</v>
      </c>
      <c r="T858" s="839"/>
    </row>
    <row r="859" spans="1:20" s="19" customFormat="1" ht="93" customHeight="1" x14ac:dyDescent="0.3">
      <c r="A859" s="226" t="s">
        <v>104</v>
      </c>
      <c r="B859" s="227" t="s">
        <v>679</v>
      </c>
      <c r="C859" s="228" t="s">
        <v>820</v>
      </c>
      <c r="D859" s="841"/>
      <c r="E859" s="841"/>
      <c r="F859" s="843"/>
      <c r="G859" s="420" t="s">
        <v>681</v>
      </c>
      <c r="H859" s="845"/>
      <c r="I859" s="125">
        <v>43.8</v>
      </c>
      <c r="J859" s="419">
        <v>0</v>
      </c>
      <c r="K859" s="419">
        <f>I859+J859</f>
        <v>43.8</v>
      </c>
      <c r="L859" s="82">
        <v>2.2999999999999998</v>
      </c>
      <c r="M859" s="83" t="s">
        <v>734</v>
      </c>
      <c r="N859" s="230">
        <v>1</v>
      </c>
      <c r="O859" s="423">
        <v>1</v>
      </c>
      <c r="P859" s="231">
        <v>856000</v>
      </c>
      <c r="Q859" s="231">
        <f>+ROUND((P859*N859*K859),-3)</f>
        <v>37493000</v>
      </c>
      <c r="R859" s="231">
        <f>-ROUND((38000*J859*0.5%),-3)</f>
        <v>0</v>
      </c>
      <c r="S859" s="408">
        <f>+Q859+R859</f>
        <v>37493000</v>
      </c>
      <c r="T859" s="831"/>
    </row>
    <row r="860" spans="1:20" s="19" customFormat="1" ht="18.75" customHeight="1" x14ac:dyDescent="0.3">
      <c r="A860" s="272" t="s">
        <v>28</v>
      </c>
      <c r="B860" s="273" t="s">
        <v>315</v>
      </c>
      <c r="C860" s="233"/>
      <c r="D860" s="233"/>
      <c r="E860" s="233"/>
      <c r="F860" s="233"/>
      <c r="G860" s="233"/>
      <c r="H860" s="233"/>
      <c r="I860" s="234"/>
      <c r="J860" s="233"/>
      <c r="K860" s="235"/>
      <c r="L860" s="235"/>
      <c r="M860" s="233"/>
      <c r="N860" s="235"/>
      <c r="O860" s="233"/>
      <c r="P860" s="236"/>
      <c r="Q860" s="237"/>
      <c r="R860" s="237"/>
      <c r="S860" s="237"/>
      <c r="T860" s="233"/>
    </row>
    <row r="861" spans="1:20" s="19" customFormat="1" ht="18.75" customHeight="1" x14ac:dyDescent="0.3">
      <c r="A861" s="272" t="s">
        <v>56</v>
      </c>
      <c r="B861" s="273" t="s">
        <v>201</v>
      </c>
      <c r="C861" s="233"/>
      <c r="D861" s="233"/>
      <c r="E861" s="233"/>
      <c r="F861" s="233"/>
      <c r="G861" s="233"/>
      <c r="H861" s="233"/>
      <c r="I861" s="234"/>
      <c r="J861" s="233"/>
      <c r="K861" s="235"/>
      <c r="L861" s="235"/>
      <c r="M861" s="233"/>
      <c r="N861" s="235"/>
      <c r="O861" s="233"/>
      <c r="P861" s="236"/>
      <c r="Q861" s="233"/>
      <c r="R861" s="233"/>
      <c r="S861" s="244">
        <f>S868</f>
        <v>2180000</v>
      </c>
      <c r="T861" s="233"/>
    </row>
    <row r="862" spans="1:20" s="19" customFormat="1" ht="18.75" customHeight="1" x14ac:dyDescent="0.3">
      <c r="A862" s="765"/>
      <c r="B862" s="767" t="s">
        <v>51</v>
      </c>
      <c r="C862" s="767" t="s">
        <v>58</v>
      </c>
      <c r="D862" s="768" t="s">
        <v>59</v>
      </c>
      <c r="E862" s="769" t="s">
        <v>60</v>
      </c>
      <c r="F862" s="769" t="s">
        <v>61</v>
      </c>
      <c r="G862" s="769" t="s">
        <v>62</v>
      </c>
      <c r="H862" s="769" t="s">
        <v>63</v>
      </c>
      <c r="I862" s="770" t="s">
        <v>64</v>
      </c>
      <c r="J862" s="757"/>
      <c r="K862" s="757"/>
      <c r="L862" s="757"/>
      <c r="M862" s="758"/>
      <c r="N862" s="771" t="s">
        <v>3</v>
      </c>
      <c r="O862" s="771" t="s">
        <v>65</v>
      </c>
      <c r="P862" s="771" t="s">
        <v>66</v>
      </c>
      <c r="Q862" s="771" t="s">
        <v>67</v>
      </c>
      <c r="R862" s="767" t="s">
        <v>68</v>
      </c>
      <c r="S862" s="767" t="s">
        <v>69</v>
      </c>
      <c r="T862" s="767" t="s">
        <v>70</v>
      </c>
    </row>
    <row r="863" spans="1:20" s="19" customFormat="1" ht="18.75" customHeight="1" x14ac:dyDescent="0.3">
      <c r="A863" s="766"/>
      <c r="B863" s="766"/>
      <c r="C863" s="766"/>
      <c r="D863" s="766"/>
      <c r="E863" s="766"/>
      <c r="F863" s="766"/>
      <c r="G863" s="766"/>
      <c r="H863" s="766"/>
      <c r="I863" s="168" t="s">
        <v>71</v>
      </c>
      <c r="J863" s="159" t="s">
        <v>72</v>
      </c>
      <c r="K863" s="159" t="s">
        <v>73</v>
      </c>
      <c r="L863" s="45" t="s">
        <v>74</v>
      </c>
      <c r="M863" s="204" t="s">
        <v>75</v>
      </c>
      <c r="N863" s="766"/>
      <c r="O863" s="766"/>
      <c r="P863" s="766"/>
      <c r="Q863" s="766"/>
      <c r="R863" s="766"/>
      <c r="S863" s="766"/>
      <c r="T863" s="766"/>
    </row>
    <row r="864" spans="1:20" s="19" customFormat="1" ht="78" customHeight="1" x14ac:dyDescent="0.3">
      <c r="A864" s="196" t="s">
        <v>5</v>
      </c>
      <c r="B864" s="197" t="s">
        <v>76</v>
      </c>
      <c r="C864" s="197" t="s">
        <v>77</v>
      </c>
      <c r="D864" s="197" t="s">
        <v>78</v>
      </c>
      <c r="E864" s="159" t="s">
        <v>79</v>
      </c>
      <c r="F864" s="159" t="s">
        <v>80</v>
      </c>
      <c r="G864" s="159" t="s">
        <v>81</v>
      </c>
      <c r="H864" s="45" t="s">
        <v>82</v>
      </c>
      <c r="I864" s="168" t="s">
        <v>83</v>
      </c>
      <c r="J864" s="242" t="s">
        <v>84</v>
      </c>
      <c r="K864" s="242" t="s">
        <v>85</v>
      </c>
      <c r="L864" s="49" t="s">
        <v>86</v>
      </c>
      <c r="M864" s="204" t="s">
        <v>87</v>
      </c>
      <c r="N864" s="159" t="s">
        <v>88</v>
      </c>
      <c r="O864" s="159" t="s">
        <v>89</v>
      </c>
      <c r="P864" s="159" t="s">
        <v>90</v>
      </c>
      <c r="Q864" s="159" t="s">
        <v>91</v>
      </c>
      <c r="R864" s="159" t="s">
        <v>92</v>
      </c>
      <c r="S864" s="159" t="s">
        <v>964</v>
      </c>
      <c r="T864" s="159" t="s">
        <v>15</v>
      </c>
    </row>
    <row r="865" spans="1:20" s="19" customFormat="1" ht="43.5" customHeight="1" x14ac:dyDescent="0.3">
      <c r="A865" s="253"/>
      <c r="B865" s="424" t="s">
        <v>552</v>
      </c>
      <c r="C865" s="424"/>
      <c r="D865" s="424"/>
      <c r="E865" s="255"/>
      <c r="F865" s="198"/>
      <c r="G865" s="198"/>
      <c r="H865" s="199"/>
      <c r="I865" s="245"/>
      <c r="J865" s="242"/>
      <c r="K865" s="242"/>
      <c r="L865" s="49"/>
      <c r="M865" s="204"/>
      <c r="N865" s="159"/>
      <c r="O865" s="159"/>
      <c r="P865" s="159"/>
      <c r="Q865" s="159"/>
      <c r="R865" s="159"/>
      <c r="S865" s="159"/>
      <c r="T865" s="159"/>
    </row>
    <row r="866" spans="1:20" s="19" customFormat="1" ht="40.5" customHeight="1" x14ac:dyDescent="0.3">
      <c r="A866" s="254">
        <v>1</v>
      </c>
      <c r="B866" s="258" t="s">
        <v>126</v>
      </c>
      <c r="C866" s="258" t="s">
        <v>754</v>
      </c>
      <c r="D866" s="64" t="s">
        <v>958</v>
      </c>
      <c r="E866" s="256" t="s">
        <v>243</v>
      </c>
      <c r="F866" s="417"/>
      <c r="G866" s="247">
        <f>2026-E866</f>
        <v>16</v>
      </c>
      <c r="H866" s="248" t="s">
        <v>95</v>
      </c>
      <c r="I866" s="192">
        <f>6.2*0.7*0.15</f>
        <v>0.65099999999999991</v>
      </c>
      <c r="J866" s="249" t="s">
        <v>96</v>
      </c>
      <c r="K866" s="138">
        <f>+I866-J866</f>
        <v>0.65099999999999991</v>
      </c>
      <c r="L866" s="161">
        <v>0.99199999999999999</v>
      </c>
      <c r="M866" s="144">
        <v>2446000</v>
      </c>
      <c r="N866" s="250">
        <v>0.6</v>
      </c>
      <c r="O866" s="144">
        <f>+M866</f>
        <v>2446000</v>
      </c>
      <c r="P866" s="45">
        <f>+ROUND((K866*L866*O866*N866),-3)</f>
        <v>948000</v>
      </c>
      <c r="Q866" s="144" t="s">
        <v>97</v>
      </c>
      <c r="R866" s="144" t="s">
        <v>97</v>
      </c>
      <c r="S866" s="45">
        <f>P866</f>
        <v>948000</v>
      </c>
      <c r="T866" s="138" t="s">
        <v>553</v>
      </c>
    </row>
    <row r="867" spans="1:20" s="19" customFormat="1" ht="41.25" customHeight="1" x14ac:dyDescent="0.3">
      <c r="A867" s="254">
        <v>2</v>
      </c>
      <c r="B867" s="258" t="s">
        <v>214</v>
      </c>
      <c r="C867" s="258" t="s">
        <v>554</v>
      </c>
      <c r="D867" s="64" t="s">
        <v>957</v>
      </c>
      <c r="E867" s="256" t="s">
        <v>243</v>
      </c>
      <c r="F867" s="417"/>
      <c r="G867" s="247">
        <f>2026-E867</f>
        <v>16</v>
      </c>
      <c r="H867" s="248" t="s">
        <v>95</v>
      </c>
      <c r="I867" s="192">
        <f>4.1*4.9</f>
        <v>20.09</v>
      </c>
      <c r="J867" s="249" t="s">
        <v>96</v>
      </c>
      <c r="K867" s="138">
        <f>+I867-J867</f>
        <v>20.09</v>
      </c>
      <c r="L867" s="161">
        <v>0.99199999999999999</v>
      </c>
      <c r="M867" s="144">
        <v>103000</v>
      </c>
      <c r="N867" s="250">
        <v>0.6</v>
      </c>
      <c r="O867" s="144">
        <f>+M867</f>
        <v>103000</v>
      </c>
      <c r="P867" s="45">
        <f>+ROUND((K867*L867*O867*N867),-3)</f>
        <v>1232000</v>
      </c>
      <c r="Q867" s="144" t="s">
        <v>97</v>
      </c>
      <c r="R867" s="144" t="s">
        <v>97</v>
      </c>
      <c r="S867" s="45">
        <f>P867</f>
        <v>1232000</v>
      </c>
      <c r="T867" s="138" t="s">
        <v>555</v>
      </c>
    </row>
    <row r="868" spans="1:20" s="19" customFormat="1" ht="53.25" customHeight="1" x14ac:dyDescent="0.3">
      <c r="A868" s="165"/>
      <c r="B868" s="257" t="s">
        <v>55</v>
      </c>
      <c r="C868" s="257"/>
      <c r="D868" s="215"/>
      <c r="E868" s="215"/>
      <c r="F868" s="251"/>
      <c r="G868" s="251"/>
      <c r="H868" s="251"/>
      <c r="I868" s="252"/>
      <c r="J868" s="168"/>
      <c r="K868" s="168"/>
      <c r="L868" s="45"/>
      <c r="M868" s="169"/>
      <c r="N868" s="170"/>
      <c r="O868" s="167"/>
      <c r="P868" s="45"/>
      <c r="Q868" s="45"/>
      <c r="R868" s="45"/>
      <c r="S868" s="45">
        <f>SUM(S866:S867)</f>
        <v>2180000</v>
      </c>
      <c r="T868" s="167"/>
    </row>
    <row r="869" spans="1:20" s="19" customFormat="1" ht="30" customHeight="1" x14ac:dyDescent="0.3">
      <c r="A869" s="171" t="s">
        <v>131</v>
      </c>
      <c r="B869" s="172" t="s">
        <v>132</v>
      </c>
      <c r="C869" s="173"/>
      <c r="D869" s="466"/>
      <c r="E869" s="466"/>
      <c r="F869" s="466"/>
      <c r="G869" s="466"/>
      <c r="H869" s="466"/>
      <c r="I869" s="467"/>
      <c r="J869" s="466"/>
      <c r="K869" s="468"/>
      <c r="L869" s="468"/>
      <c r="M869" s="466"/>
      <c r="N869" s="468"/>
      <c r="O869" s="466"/>
      <c r="P869" s="469"/>
      <c r="Q869" s="466"/>
      <c r="R869" s="466"/>
      <c r="S869" s="470"/>
      <c r="T869" s="466"/>
    </row>
    <row r="870" spans="1:20" s="19" customFormat="1" ht="30" customHeight="1" x14ac:dyDescent="0.3">
      <c r="A870" s="171" t="s">
        <v>133</v>
      </c>
      <c r="B870" s="172" t="s">
        <v>134</v>
      </c>
      <c r="C870" s="174"/>
      <c r="D870" s="174"/>
      <c r="E870" s="174"/>
      <c r="F870" s="174"/>
      <c r="G870" s="174"/>
      <c r="H870" s="174"/>
      <c r="I870" s="175"/>
      <c r="J870" s="174"/>
      <c r="K870" s="176"/>
      <c r="L870" s="176"/>
      <c r="M870" s="174"/>
      <c r="N870" s="176"/>
      <c r="O870" s="174"/>
      <c r="P870" s="177"/>
      <c r="Q870" s="174"/>
      <c r="R870" s="174"/>
      <c r="S870" s="174"/>
      <c r="T870" s="174"/>
    </row>
    <row r="871" spans="1:20" s="19" customFormat="1" ht="30" customHeight="1" x14ac:dyDescent="0.3">
      <c r="A871" s="178" t="s">
        <v>135</v>
      </c>
      <c r="B871" s="756" t="s">
        <v>556</v>
      </c>
      <c r="C871" s="757"/>
      <c r="D871" s="757"/>
      <c r="E871" s="757"/>
      <c r="F871" s="757"/>
      <c r="G871" s="757"/>
      <c r="H871" s="757"/>
      <c r="I871" s="757"/>
      <c r="J871" s="757"/>
      <c r="K871" s="757"/>
      <c r="L871" s="757"/>
      <c r="M871" s="757"/>
      <c r="N871" s="757"/>
      <c r="O871" s="757"/>
      <c r="P871" s="757"/>
      <c r="Q871" s="757"/>
      <c r="R871" s="758"/>
      <c r="S871" s="29">
        <f>+S868</f>
        <v>2180000</v>
      </c>
      <c r="T871" s="174" t="s">
        <v>137</v>
      </c>
    </row>
    <row r="872" spans="1:20" ht="30" customHeight="1" x14ac:dyDescent="0.3">
      <c r="A872" s="474"/>
      <c r="B872" s="829" t="s">
        <v>557</v>
      </c>
      <c r="C872" s="773"/>
      <c r="D872" s="773"/>
      <c r="E872" s="773"/>
      <c r="F872" s="773"/>
      <c r="G872" s="773"/>
      <c r="H872" s="773"/>
      <c r="I872" s="773"/>
      <c r="J872" s="773"/>
      <c r="K872" s="773"/>
      <c r="L872" s="773"/>
      <c r="M872" s="773"/>
      <c r="N872" s="773"/>
      <c r="O872" s="773"/>
      <c r="P872" s="773"/>
      <c r="Q872" s="773"/>
      <c r="R872" s="773"/>
      <c r="S872" s="773"/>
      <c r="T872" s="474"/>
    </row>
    <row r="873" spans="1:20" ht="18.75" customHeight="1" x14ac:dyDescent="0.3">
      <c r="A873" s="474"/>
      <c r="B873" s="772" t="s">
        <v>1</v>
      </c>
      <c r="C873" s="773"/>
      <c r="D873" s="773"/>
      <c r="E873" s="773"/>
      <c r="F873" s="773"/>
      <c r="G873" s="773"/>
      <c r="H873" s="773"/>
      <c r="I873" s="773"/>
      <c r="J873" s="773"/>
      <c r="K873" s="773"/>
      <c r="L873" s="773"/>
      <c r="M873" s="773"/>
      <c r="N873" s="773"/>
      <c r="O873" s="773"/>
      <c r="P873" s="773"/>
      <c r="Q873" s="773"/>
      <c r="R873" s="773"/>
      <c r="S873" s="773"/>
      <c r="T873" s="474"/>
    </row>
    <row r="874" spans="1:20" ht="18.75" customHeight="1" x14ac:dyDescent="0.3">
      <c r="A874" s="474"/>
      <c r="B874" s="772" t="s">
        <v>2</v>
      </c>
      <c r="C874" s="773"/>
      <c r="D874" s="773"/>
      <c r="E874" s="773"/>
      <c r="F874" s="773"/>
      <c r="G874" s="773"/>
      <c r="H874" s="773"/>
      <c r="I874" s="773"/>
      <c r="J874" s="773"/>
      <c r="K874" s="773"/>
      <c r="L874" s="773"/>
      <c r="M874" s="773"/>
      <c r="N874" s="773"/>
      <c r="O874" s="773"/>
      <c r="P874" s="773"/>
      <c r="Q874" s="773"/>
      <c r="R874" s="773"/>
      <c r="S874" s="773"/>
      <c r="T874" s="474"/>
    </row>
    <row r="875" spans="1:20" ht="18.75" customHeight="1" x14ac:dyDescent="0.3">
      <c r="A875" s="475"/>
      <c r="B875" s="809" t="str">
        <f>B848</f>
        <v>(Kèm theo Quyết định số     /QĐ-UBND ngày     tháng     năm 2026 của Ủy ban nhân dân xã Thuận An)</v>
      </c>
      <c r="C875" s="773"/>
      <c r="D875" s="773"/>
      <c r="E875" s="773"/>
      <c r="F875" s="773"/>
      <c r="G875" s="773"/>
      <c r="H875" s="773"/>
      <c r="I875" s="773"/>
      <c r="J875" s="773"/>
      <c r="K875" s="773"/>
      <c r="L875" s="773"/>
      <c r="M875" s="773"/>
      <c r="N875" s="773"/>
      <c r="O875" s="773"/>
      <c r="P875" s="773"/>
      <c r="Q875" s="773"/>
      <c r="R875" s="773"/>
      <c r="S875" s="773"/>
      <c r="T875" s="475"/>
    </row>
    <row r="876" spans="1:20" s="19" customFormat="1" ht="36" customHeight="1" thickBot="1" x14ac:dyDescent="0.35">
      <c r="A876" s="272" t="s">
        <v>3</v>
      </c>
      <c r="B876" s="273" t="s">
        <v>4</v>
      </c>
      <c r="C876" s="233"/>
      <c r="D876" s="233"/>
      <c r="E876" s="233"/>
      <c r="F876" s="233"/>
      <c r="G876" s="233"/>
      <c r="H876" s="233"/>
      <c r="I876" s="234"/>
      <c r="J876" s="233"/>
      <c r="K876" s="235"/>
      <c r="L876" s="235"/>
      <c r="M876" s="233"/>
      <c r="N876" s="235"/>
      <c r="O876" s="233"/>
      <c r="P876" s="236"/>
      <c r="Q876" s="233"/>
      <c r="R876" s="233"/>
      <c r="S876" s="237"/>
      <c r="T876" s="233"/>
    </row>
    <row r="877" spans="1:20" s="19" customFormat="1" ht="44.25" customHeight="1" x14ac:dyDescent="0.3">
      <c r="A877" s="810" t="s">
        <v>5</v>
      </c>
      <c r="B877" s="812" t="s">
        <v>6</v>
      </c>
      <c r="C877" s="814" t="s">
        <v>7</v>
      </c>
      <c r="D877" s="817" t="s">
        <v>959</v>
      </c>
      <c r="E877" s="818"/>
      <c r="F877" s="819"/>
      <c r="G877" s="817" t="s">
        <v>960</v>
      </c>
      <c r="H877" s="818"/>
      <c r="I877" s="819"/>
      <c r="J877" s="817" t="s">
        <v>961</v>
      </c>
      <c r="K877" s="818"/>
      <c r="L877" s="819"/>
      <c r="M877" s="820" t="s">
        <v>8</v>
      </c>
      <c r="N877" s="823" t="s">
        <v>9</v>
      </c>
      <c r="O877" s="823" t="s">
        <v>10</v>
      </c>
      <c r="P877" s="824" t="s">
        <v>11</v>
      </c>
      <c r="Q877" s="824" t="s">
        <v>12</v>
      </c>
      <c r="R877" s="824" t="s">
        <v>13</v>
      </c>
      <c r="S877" s="812" t="s">
        <v>14</v>
      </c>
      <c r="T877" s="825" t="s">
        <v>15</v>
      </c>
    </row>
    <row r="878" spans="1:20" s="19" customFormat="1" ht="30.75" customHeight="1" x14ac:dyDescent="0.3">
      <c r="A878" s="811"/>
      <c r="B878" s="813"/>
      <c r="C878" s="815"/>
      <c r="D878" s="827" t="s">
        <v>16</v>
      </c>
      <c r="E878" s="803" t="s">
        <v>17</v>
      </c>
      <c r="F878" s="828"/>
      <c r="G878" s="827" t="s">
        <v>16</v>
      </c>
      <c r="H878" s="803" t="s">
        <v>17</v>
      </c>
      <c r="I878" s="828"/>
      <c r="J878" s="800" t="s">
        <v>18</v>
      </c>
      <c r="K878" s="803" t="s">
        <v>17</v>
      </c>
      <c r="L878" s="828"/>
      <c r="M878" s="821"/>
      <c r="N878" s="813"/>
      <c r="O878" s="813"/>
      <c r="P878" s="813"/>
      <c r="Q878" s="813"/>
      <c r="R878" s="813"/>
      <c r="S878" s="813"/>
      <c r="T878" s="826"/>
    </row>
    <row r="879" spans="1:20" s="19" customFormat="1" ht="58.5" customHeight="1" x14ac:dyDescent="0.3">
      <c r="A879" s="801"/>
      <c r="B879" s="766"/>
      <c r="C879" s="816"/>
      <c r="D879" s="801"/>
      <c r="E879" s="167" t="s">
        <v>962</v>
      </c>
      <c r="F879" s="185" t="s">
        <v>963</v>
      </c>
      <c r="G879" s="801"/>
      <c r="H879" s="167" t="s">
        <v>962</v>
      </c>
      <c r="I879" s="186" t="s">
        <v>963</v>
      </c>
      <c r="J879" s="801"/>
      <c r="K879" s="167" t="s">
        <v>962</v>
      </c>
      <c r="L879" s="185" t="s">
        <v>963</v>
      </c>
      <c r="M879" s="822"/>
      <c r="N879" s="766"/>
      <c r="O879" s="766"/>
      <c r="P879" s="766"/>
      <c r="Q879" s="766"/>
      <c r="R879" s="766"/>
      <c r="S879" s="766"/>
      <c r="T879" s="808"/>
    </row>
    <row r="880" spans="1:20" s="19" customFormat="1" ht="109.5" customHeight="1" x14ac:dyDescent="0.3">
      <c r="A880" s="179" t="s">
        <v>558</v>
      </c>
      <c r="B880" s="44" t="s">
        <v>559</v>
      </c>
      <c r="C880" s="49" t="s">
        <v>745</v>
      </c>
      <c r="D880" s="180">
        <f>E880+F880</f>
        <v>168</v>
      </c>
      <c r="E880" s="143">
        <v>100</v>
      </c>
      <c r="F880" s="181">
        <v>68</v>
      </c>
      <c r="G880" s="180">
        <f>+H880+I880</f>
        <v>168</v>
      </c>
      <c r="H880" s="143">
        <v>100</v>
      </c>
      <c r="I880" s="182">
        <v>68</v>
      </c>
      <c r="J880" s="180">
        <f>K880+L880</f>
        <v>41.7</v>
      </c>
      <c r="K880" s="143">
        <v>0</v>
      </c>
      <c r="L880" s="181">
        <v>41.7</v>
      </c>
      <c r="M880" s="377">
        <v>0</v>
      </c>
      <c r="N880" s="183">
        <f>L880/F880</f>
        <v>0.6132352941176471</v>
      </c>
      <c r="O880" s="142" t="s">
        <v>21</v>
      </c>
      <c r="P880" s="144" t="s">
        <v>140</v>
      </c>
      <c r="Q880" s="144" t="s">
        <v>23</v>
      </c>
      <c r="R880" s="138" t="s">
        <v>24</v>
      </c>
      <c r="S880" s="138" t="s">
        <v>25</v>
      </c>
      <c r="T880" s="184" t="s">
        <v>560</v>
      </c>
    </row>
    <row r="881" spans="1:20" s="19" customFormat="1" ht="30" customHeight="1" x14ac:dyDescent="0.3">
      <c r="A881" s="272" t="s">
        <v>27</v>
      </c>
      <c r="B881" s="273" t="s">
        <v>777</v>
      </c>
      <c r="C881" s="233"/>
      <c r="D881" s="233"/>
      <c r="E881" s="233"/>
      <c r="F881" s="233"/>
      <c r="G881" s="233"/>
      <c r="H881" s="233"/>
      <c r="I881" s="234"/>
      <c r="J881" s="233"/>
      <c r="K881" s="235"/>
      <c r="L881" s="235"/>
      <c r="M881" s="233"/>
      <c r="N881" s="235"/>
      <c r="O881" s="233"/>
      <c r="P881" s="236"/>
      <c r="Q881" s="233"/>
      <c r="R881" s="233"/>
      <c r="S881" s="233"/>
      <c r="T881" s="233"/>
    </row>
    <row r="882" spans="1:20" s="19" customFormat="1" ht="54" customHeight="1" x14ac:dyDescent="0.3">
      <c r="A882" s="781" t="s">
        <v>5</v>
      </c>
      <c r="B882" s="783" t="s">
        <v>663</v>
      </c>
      <c r="C882" s="783" t="s">
        <v>664</v>
      </c>
      <c r="D882" s="785" t="s">
        <v>665</v>
      </c>
      <c r="E882" s="786"/>
      <c r="F882" s="786"/>
      <c r="G882" s="787"/>
      <c r="H882" s="788" t="s">
        <v>666</v>
      </c>
      <c r="I882" s="790" t="s">
        <v>667</v>
      </c>
      <c r="J882" s="760"/>
      <c r="K882" s="791"/>
      <c r="L882" s="792" t="s">
        <v>668</v>
      </c>
      <c r="M882" s="793"/>
      <c r="N882" s="794" t="s">
        <v>43</v>
      </c>
      <c r="O882" s="783" t="s">
        <v>669</v>
      </c>
      <c r="P882" s="796" t="s">
        <v>670</v>
      </c>
      <c r="Q882" s="796" t="s">
        <v>42</v>
      </c>
      <c r="R882" s="783" t="s">
        <v>671</v>
      </c>
      <c r="S882" s="783" t="s">
        <v>44</v>
      </c>
      <c r="T882" s="798" t="s">
        <v>15</v>
      </c>
    </row>
    <row r="883" spans="1:20" s="19" customFormat="1" ht="84" customHeight="1" x14ac:dyDescent="0.3">
      <c r="A883" s="782"/>
      <c r="B883" s="784"/>
      <c r="C883" s="784"/>
      <c r="D883" s="407" t="s">
        <v>672</v>
      </c>
      <c r="E883" s="407" t="s">
        <v>673</v>
      </c>
      <c r="F883" s="407" t="s">
        <v>759</v>
      </c>
      <c r="G883" s="407" t="s">
        <v>17</v>
      </c>
      <c r="H883" s="789"/>
      <c r="I883" s="125" t="s">
        <v>674</v>
      </c>
      <c r="J883" s="418" t="s">
        <v>675</v>
      </c>
      <c r="K883" s="81" t="s">
        <v>676</v>
      </c>
      <c r="L883" s="82" t="s">
        <v>677</v>
      </c>
      <c r="M883" s="83" t="s">
        <v>678</v>
      </c>
      <c r="N883" s="795"/>
      <c r="O883" s="784"/>
      <c r="P883" s="797"/>
      <c r="Q883" s="797"/>
      <c r="R883" s="784"/>
      <c r="S883" s="784"/>
      <c r="T883" s="799"/>
    </row>
    <row r="884" spans="1:20" s="19" customFormat="1" ht="97.5" customHeight="1" x14ac:dyDescent="0.3">
      <c r="A884" s="226" t="s">
        <v>19</v>
      </c>
      <c r="B884" s="227" t="s">
        <v>679</v>
      </c>
      <c r="C884" s="228" t="s">
        <v>822</v>
      </c>
      <c r="D884" s="418" t="s">
        <v>457</v>
      </c>
      <c r="E884" s="418" t="s">
        <v>680</v>
      </c>
      <c r="F884" s="419">
        <v>41.7</v>
      </c>
      <c r="G884" s="420" t="s">
        <v>681</v>
      </c>
      <c r="H884" s="420" t="s">
        <v>814</v>
      </c>
      <c r="I884" s="420">
        <v>41.7</v>
      </c>
      <c r="J884" s="419">
        <v>0</v>
      </c>
      <c r="K884" s="419">
        <f>I884+J884</f>
        <v>41.7</v>
      </c>
      <c r="L884" s="419">
        <v>0</v>
      </c>
      <c r="M884" s="134"/>
      <c r="N884" s="260">
        <v>1</v>
      </c>
      <c r="O884" s="423">
        <v>1</v>
      </c>
      <c r="P884" s="231">
        <v>856000</v>
      </c>
      <c r="Q884" s="231">
        <f>+ROUND((P884*N884*K884),-3)</f>
        <v>35695000</v>
      </c>
      <c r="R884" s="231">
        <f>-ROUND((38000*J884*0.5%),-3)</f>
        <v>0</v>
      </c>
      <c r="S884" s="408">
        <f>+Q884+R884</f>
        <v>35695000</v>
      </c>
      <c r="T884" s="227" t="s">
        <v>833</v>
      </c>
    </row>
    <row r="885" spans="1:20" s="19" customFormat="1" ht="30" customHeight="1" x14ac:dyDescent="0.3">
      <c r="A885" s="272" t="s">
        <v>28</v>
      </c>
      <c r="B885" s="273" t="s">
        <v>315</v>
      </c>
      <c r="C885" s="233"/>
      <c r="D885" s="233"/>
      <c r="E885" s="233"/>
      <c r="F885" s="233"/>
      <c r="G885" s="233"/>
      <c r="H885" s="233"/>
      <c r="I885" s="234"/>
      <c r="J885" s="233"/>
      <c r="K885" s="235"/>
      <c r="L885" s="235"/>
      <c r="M885" s="233"/>
      <c r="N885" s="235"/>
      <c r="O885" s="233"/>
      <c r="P885" s="236"/>
      <c r="Q885" s="237"/>
      <c r="R885" s="237"/>
      <c r="S885" s="237"/>
      <c r="T885" s="233"/>
    </row>
    <row r="886" spans="1:20" s="19" customFormat="1" ht="30" customHeight="1" x14ac:dyDescent="0.3">
      <c r="A886" s="272" t="s">
        <v>56</v>
      </c>
      <c r="B886" s="273" t="s">
        <v>201</v>
      </c>
      <c r="C886" s="233"/>
      <c r="D886" s="233"/>
      <c r="E886" s="233"/>
      <c r="F886" s="233"/>
      <c r="G886" s="233"/>
      <c r="H886" s="233"/>
      <c r="I886" s="234"/>
      <c r="J886" s="233"/>
      <c r="K886" s="235"/>
      <c r="L886" s="235"/>
      <c r="M886" s="233"/>
      <c r="N886" s="235"/>
      <c r="O886" s="233"/>
      <c r="P886" s="236"/>
      <c r="Q886" s="233"/>
      <c r="R886" s="233"/>
      <c r="S886" s="203">
        <f>S897</f>
        <v>11995000</v>
      </c>
      <c r="T886" s="233"/>
    </row>
    <row r="887" spans="1:20" s="19" customFormat="1" ht="18.75" customHeight="1" x14ac:dyDescent="0.3">
      <c r="A887" s="765"/>
      <c r="B887" s="767" t="s">
        <v>51</v>
      </c>
      <c r="C887" s="767" t="s">
        <v>58</v>
      </c>
      <c r="D887" s="768" t="s">
        <v>59</v>
      </c>
      <c r="E887" s="769" t="s">
        <v>60</v>
      </c>
      <c r="F887" s="769" t="s">
        <v>61</v>
      </c>
      <c r="G887" s="769" t="s">
        <v>62</v>
      </c>
      <c r="H887" s="769" t="s">
        <v>63</v>
      </c>
      <c r="I887" s="770" t="s">
        <v>64</v>
      </c>
      <c r="J887" s="757"/>
      <c r="K887" s="757"/>
      <c r="L887" s="757"/>
      <c r="M887" s="758"/>
      <c r="N887" s="771" t="s">
        <v>3</v>
      </c>
      <c r="O887" s="771" t="s">
        <v>65</v>
      </c>
      <c r="P887" s="771" t="s">
        <v>66</v>
      </c>
      <c r="Q887" s="771" t="s">
        <v>67</v>
      </c>
      <c r="R887" s="767" t="s">
        <v>68</v>
      </c>
      <c r="S887" s="767" t="s">
        <v>69</v>
      </c>
      <c r="T887" s="767" t="s">
        <v>70</v>
      </c>
    </row>
    <row r="888" spans="1:20" s="19" customFormat="1" ht="18.75" customHeight="1" x14ac:dyDescent="0.3">
      <c r="A888" s="766"/>
      <c r="B888" s="766"/>
      <c r="C888" s="766"/>
      <c r="D888" s="766"/>
      <c r="E888" s="766"/>
      <c r="F888" s="766"/>
      <c r="G888" s="766"/>
      <c r="H888" s="766"/>
      <c r="I888" s="168" t="s">
        <v>71</v>
      </c>
      <c r="J888" s="159" t="s">
        <v>72</v>
      </c>
      <c r="K888" s="159" t="s">
        <v>73</v>
      </c>
      <c r="L888" s="45" t="s">
        <v>74</v>
      </c>
      <c r="M888" s="204" t="s">
        <v>75</v>
      </c>
      <c r="N888" s="766"/>
      <c r="O888" s="766"/>
      <c r="P888" s="766"/>
      <c r="Q888" s="766"/>
      <c r="R888" s="766"/>
      <c r="S888" s="766"/>
      <c r="T888" s="766"/>
    </row>
    <row r="889" spans="1:20" s="19" customFormat="1" ht="78" customHeight="1" x14ac:dyDescent="0.3">
      <c r="A889" s="196" t="s">
        <v>5</v>
      </c>
      <c r="B889" s="197" t="s">
        <v>76</v>
      </c>
      <c r="C889" s="197" t="s">
        <v>77</v>
      </c>
      <c r="D889" s="197" t="s">
        <v>78</v>
      </c>
      <c r="E889" s="198" t="s">
        <v>79</v>
      </c>
      <c r="F889" s="159" t="s">
        <v>80</v>
      </c>
      <c r="G889" s="159" t="s">
        <v>81</v>
      </c>
      <c r="H889" s="45" t="s">
        <v>82</v>
      </c>
      <c r="I889" s="200" t="s">
        <v>83</v>
      </c>
      <c r="J889" s="242" t="s">
        <v>84</v>
      </c>
      <c r="K889" s="242" t="s">
        <v>85</v>
      </c>
      <c r="L889" s="49" t="s">
        <v>86</v>
      </c>
      <c r="M889" s="204" t="s">
        <v>87</v>
      </c>
      <c r="N889" s="159" t="s">
        <v>88</v>
      </c>
      <c r="O889" s="159" t="s">
        <v>89</v>
      </c>
      <c r="P889" s="159" t="s">
        <v>90</v>
      </c>
      <c r="Q889" s="159" t="s">
        <v>91</v>
      </c>
      <c r="R889" s="159" t="s">
        <v>92</v>
      </c>
      <c r="S889" s="159" t="s">
        <v>964</v>
      </c>
      <c r="T889" s="159" t="s">
        <v>15</v>
      </c>
    </row>
    <row r="890" spans="1:20" s="19" customFormat="1" ht="65.25" customHeight="1" x14ac:dyDescent="0.3">
      <c r="A890" s="254">
        <v>1</v>
      </c>
      <c r="B890" s="258" t="s">
        <v>99</v>
      </c>
      <c r="C890" s="258" t="s">
        <v>561</v>
      </c>
      <c r="D890" s="64" t="s">
        <v>958</v>
      </c>
      <c r="E890" s="246" t="s">
        <v>147</v>
      </c>
      <c r="F890" s="261"/>
      <c r="G890" s="325">
        <f t="shared" ref="G890:G896" si="88">2026-E890</f>
        <v>26</v>
      </c>
      <c r="H890" s="263" t="s">
        <v>95</v>
      </c>
      <c r="I890" s="192">
        <f>(0.38*0.38*2)*2</f>
        <v>0.5776</v>
      </c>
      <c r="J890" s="249" t="s">
        <v>96</v>
      </c>
      <c r="K890" s="138">
        <f t="shared" ref="K890:K896" si="89">+I890-J890</f>
        <v>0.5776</v>
      </c>
      <c r="L890" s="161">
        <v>0.99199999999999999</v>
      </c>
      <c r="M890" s="144">
        <v>2556000</v>
      </c>
      <c r="N890" s="145">
        <v>0.8</v>
      </c>
      <c r="O890" s="144">
        <f>+M890</f>
        <v>2556000</v>
      </c>
      <c r="P890" s="45">
        <f t="shared" ref="P890:P896" si="90">+ROUND((K890*L890*O890*N890),-3)</f>
        <v>1172000</v>
      </c>
      <c r="Q890" s="144" t="s">
        <v>97</v>
      </c>
      <c r="R890" s="144" t="s">
        <v>97</v>
      </c>
      <c r="S890" s="45">
        <f t="shared" ref="S890:S896" si="91">P890</f>
        <v>1172000</v>
      </c>
      <c r="T890" s="138" t="s">
        <v>169</v>
      </c>
    </row>
    <row r="891" spans="1:20" s="19" customFormat="1" ht="39" customHeight="1" x14ac:dyDescent="0.3">
      <c r="A891" s="254">
        <v>2</v>
      </c>
      <c r="B891" s="258" t="s">
        <v>105</v>
      </c>
      <c r="C891" s="258" t="s">
        <v>562</v>
      </c>
      <c r="D891" s="64" t="s">
        <v>957</v>
      </c>
      <c r="E891" s="246" t="s">
        <v>147</v>
      </c>
      <c r="F891" s="261"/>
      <c r="G891" s="325">
        <f t="shared" si="88"/>
        <v>26</v>
      </c>
      <c r="H891" s="263" t="s">
        <v>95</v>
      </c>
      <c r="I891" s="192">
        <f>2.75*1.8</f>
        <v>4.95</v>
      </c>
      <c r="J891" s="249" t="s">
        <v>96</v>
      </c>
      <c r="K891" s="138">
        <f t="shared" si="89"/>
        <v>4.95</v>
      </c>
      <c r="L891" s="161">
        <v>0.99199999999999999</v>
      </c>
      <c r="M891" s="144">
        <v>835000</v>
      </c>
      <c r="N891" s="145">
        <v>0.8</v>
      </c>
      <c r="O891" s="144">
        <f>+M891</f>
        <v>835000</v>
      </c>
      <c r="P891" s="45">
        <f t="shared" si="90"/>
        <v>3280000</v>
      </c>
      <c r="Q891" s="144" t="s">
        <v>97</v>
      </c>
      <c r="R891" s="144" t="s">
        <v>97</v>
      </c>
      <c r="S891" s="45">
        <f t="shared" si="91"/>
        <v>3280000</v>
      </c>
      <c r="T891" s="138" t="s">
        <v>174</v>
      </c>
    </row>
    <row r="892" spans="1:20" s="19" customFormat="1" ht="44.25" customHeight="1" x14ac:dyDescent="0.3">
      <c r="A892" s="254">
        <v>3</v>
      </c>
      <c r="B892" s="258" t="s">
        <v>93</v>
      </c>
      <c r="C892" s="258" t="s">
        <v>563</v>
      </c>
      <c r="D892" s="64" t="s">
        <v>957</v>
      </c>
      <c r="E892" s="246" t="s">
        <v>147</v>
      </c>
      <c r="F892" s="261"/>
      <c r="G892" s="325">
        <f t="shared" si="88"/>
        <v>26</v>
      </c>
      <c r="H892" s="263" t="s">
        <v>95</v>
      </c>
      <c r="I892" s="192">
        <f>1.5*8.9</f>
        <v>13.350000000000001</v>
      </c>
      <c r="J892" s="249" t="s">
        <v>96</v>
      </c>
      <c r="K892" s="138">
        <f t="shared" si="89"/>
        <v>13.350000000000001</v>
      </c>
      <c r="L892" s="161">
        <v>0.99199999999999999</v>
      </c>
      <c r="M892" s="144">
        <v>134000</v>
      </c>
      <c r="N892" s="145">
        <v>0.8</v>
      </c>
      <c r="O892" s="144">
        <f>M892</f>
        <v>134000</v>
      </c>
      <c r="P892" s="45">
        <f t="shared" si="90"/>
        <v>1420000</v>
      </c>
      <c r="Q892" s="144" t="s">
        <v>97</v>
      </c>
      <c r="R892" s="144" t="s">
        <v>97</v>
      </c>
      <c r="S892" s="45">
        <f t="shared" si="91"/>
        <v>1420000</v>
      </c>
      <c r="T892" s="138" t="s">
        <v>386</v>
      </c>
    </row>
    <row r="893" spans="1:20" s="19" customFormat="1" ht="58.5" customHeight="1" x14ac:dyDescent="0.3">
      <c r="A893" s="262" t="s">
        <v>101</v>
      </c>
      <c r="B893" s="264" t="s">
        <v>102</v>
      </c>
      <c r="C893" s="258" t="s">
        <v>564</v>
      </c>
      <c r="D893" s="64" t="s">
        <v>217</v>
      </c>
      <c r="E893" s="246" t="s">
        <v>147</v>
      </c>
      <c r="F893" s="261"/>
      <c r="G893" s="325">
        <f t="shared" si="88"/>
        <v>26</v>
      </c>
      <c r="H893" s="263" t="s">
        <v>95</v>
      </c>
      <c r="I893" s="192">
        <f>0.3*0.1*8.9</f>
        <v>0.26700000000000002</v>
      </c>
      <c r="J893" s="249" t="s">
        <v>96</v>
      </c>
      <c r="K893" s="138">
        <f t="shared" si="89"/>
        <v>0.26700000000000002</v>
      </c>
      <c r="L893" s="161">
        <v>0.99199999999999999</v>
      </c>
      <c r="M893" s="144">
        <v>2446000</v>
      </c>
      <c r="N893" s="145">
        <v>0.8</v>
      </c>
      <c r="O893" s="144">
        <f>M893*80%*90%</f>
        <v>1761120</v>
      </c>
      <c r="P893" s="45">
        <f t="shared" si="90"/>
        <v>373000</v>
      </c>
      <c r="Q893" s="144" t="s">
        <v>97</v>
      </c>
      <c r="R893" s="144" t="s">
        <v>97</v>
      </c>
      <c r="S893" s="45">
        <f t="shared" si="91"/>
        <v>373000</v>
      </c>
      <c r="T893" s="138" t="s">
        <v>321</v>
      </c>
    </row>
    <row r="894" spans="1:20" s="19" customFormat="1" ht="28.5" customHeight="1" x14ac:dyDescent="0.3">
      <c r="A894" s="254">
        <v>4</v>
      </c>
      <c r="B894" s="258" t="s">
        <v>203</v>
      </c>
      <c r="C894" s="258" t="s">
        <v>565</v>
      </c>
      <c r="D894" s="64" t="s">
        <v>957</v>
      </c>
      <c r="E894" s="246" t="s">
        <v>147</v>
      </c>
      <c r="F894" s="261"/>
      <c r="G894" s="325">
        <f t="shared" si="88"/>
        <v>26</v>
      </c>
      <c r="H894" s="263" t="s">
        <v>95</v>
      </c>
      <c r="I894" s="192">
        <f>5*7</f>
        <v>35</v>
      </c>
      <c r="J894" s="249" t="s">
        <v>96</v>
      </c>
      <c r="K894" s="138">
        <f t="shared" si="89"/>
        <v>35</v>
      </c>
      <c r="L894" s="161">
        <v>0.99199999999999999</v>
      </c>
      <c r="M894" s="144">
        <v>103000</v>
      </c>
      <c r="N894" s="145">
        <v>0.8</v>
      </c>
      <c r="O894" s="144">
        <f>+M894</f>
        <v>103000</v>
      </c>
      <c r="P894" s="45">
        <f t="shared" si="90"/>
        <v>2861000</v>
      </c>
      <c r="Q894" s="144" t="s">
        <v>97</v>
      </c>
      <c r="R894" s="144" t="s">
        <v>97</v>
      </c>
      <c r="S894" s="45">
        <f t="shared" si="91"/>
        <v>2861000</v>
      </c>
      <c r="T894" s="138" t="s">
        <v>466</v>
      </c>
    </row>
    <row r="895" spans="1:20" s="19" customFormat="1" ht="58.5" customHeight="1" x14ac:dyDescent="0.3">
      <c r="A895" s="254">
        <v>5</v>
      </c>
      <c r="B895" s="258" t="s">
        <v>566</v>
      </c>
      <c r="C895" s="258" t="s">
        <v>567</v>
      </c>
      <c r="D895" s="64" t="s">
        <v>957</v>
      </c>
      <c r="E895" s="246" t="s">
        <v>147</v>
      </c>
      <c r="F895" s="261"/>
      <c r="G895" s="325">
        <f t="shared" si="88"/>
        <v>26</v>
      </c>
      <c r="H895" s="263" t="s">
        <v>95</v>
      </c>
      <c r="I895" s="192">
        <f>4.6*1.2</f>
        <v>5.52</v>
      </c>
      <c r="J895" s="249" t="s">
        <v>96</v>
      </c>
      <c r="K895" s="138">
        <f t="shared" si="89"/>
        <v>5.52</v>
      </c>
      <c r="L895" s="161">
        <v>0.99199999999999999</v>
      </c>
      <c r="M895" s="144">
        <v>487000</v>
      </c>
      <c r="N895" s="145">
        <v>0.8</v>
      </c>
      <c r="O895" s="144">
        <f>+M895</f>
        <v>487000</v>
      </c>
      <c r="P895" s="45">
        <f t="shared" si="90"/>
        <v>2133000</v>
      </c>
      <c r="Q895" s="144" t="s">
        <v>97</v>
      </c>
      <c r="R895" s="144" t="s">
        <v>97</v>
      </c>
      <c r="S895" s="45">
        <f t="shared" si="91"/>
        <v>2133000</v>
      </c>
      <c r="T895" s="138" t="s">
        <v>568</v>
      </c>
    </row>
    <row r="896" spans="1:20" s="19" customFormat="1" ht="44.25" customHeight="1" x14ac:dyDescent="0.3">
      <c r="A896" s="254">
        <v>6</v>
      </c>
      <c r="B896" s="258" t="s">
        <v>569</v>
      </c>
      <c r="C896" s="258" t="s">
        <v>570</v>
      </c>
      <c r="D896" s="64" t="s">
        <v>957</v>
      </c>
      <c r="E896" s="246" t="s">
        <v>147</v>
      </c>
      <c r="F896" s="261"/>
      <c r="G896" s="325">
        <f t="shared" si="88"/>
        <v>26</v>
      </c>
      <c r="H896" s="263" t="s">
        <v>95</v>
      </c>
      <c r="I896" s="192">
        <f>4.2*1.2</f>
        <v>5.04</v>
      </c>
      <c r="J896" s="249" t="s">
        <v>96</v>
      </c>
      <c r="K896" s="138">
        <f t="shared" si="89"/>
        <v>5.04</v>
      </c>
      <c r="L896" s="161">
        <v>0.99199999999999999</v>
      </c>
      <c r="M896" s="144">
        <v>189000</v>
      </c>
      <c r="N896" s="145">
        <v>0.8</v>
      </c>
      <c r="O896" s="144">
        <f>+M896</f>
        <v>189000</v>
      </c>
      <c r="P896" s="45">
        <f t="shared" si="90"/>
        <v>756000</v>
      </c>
      <c r="Q896" s="144" t="s">
        <v>97</v>
      </c>
      <c r="R896" s="144" t="s">
        <v>97</v>
      </c>
      <c r="S896" s="45">
        <f t="shared" si="91"/>
        <v>756000</v>
      </c>
      <c r="T896" s="138" t="s">
        <v>205</v>
      </c>
    </row>
    <row r="897" spans="1:20" s="19" customFormat="1" ht="53.25" customHeight="1" x14ac:dyDescent="0.3">
      <c r="A897" s="165"/>
      <c r="B897" s="257" t="s">
        <v>55</v>
      </c>
      <c r="C897" s="257"/>
      <c r="D897" s="213"/>
      <c r="E897" s="214"/>
      <c r="F897" s="167"/>
      <c r="G897" s="167"/>
      <c r="H897" s="167"/>
      <c r="I897" s="252"/>
      <c r="J897" s="168"/>
      <c r="K897" s="168"/>
      <c r="L897" s="45"/>
      <c r="M897" s="169"/>
      <c r="N897" s="170"/>
      <c r="O897" s="167"/>
      <c r="P897" s="45"/>
      <c r="Q897" s="45"/>
      <c r="R897" s="45"/>
      <c r="S897" s="45">
        <f>SUM(S890:S896)</f>
        <v>11995000</v>
      </c>
      <c r="T897" s="167"/>
    </row>
    <row r="898" spans="1:20" s="19" customFormat="1" ht="30" customHeight="1" x14ac:dyDescent="0.3">
      <c r="A898" s="171" t="s">
        <v>131</v>
      </c>
      <c r="B898" s="172" t="s">
        <v>132</v>
      </c>
      <c r="C898" s="173"/>
      <c r="D898" s="466"/>
      <c r="E898" s="466"/>
      <c r="F898" s="466"/>
      <c r="G898" s="466"/>
      <c r="H898" s="466"/>
      <c r="I898" s="467"/>
      <c r="J898" s="466"/>
      <c r="K898" s="468"/>
      <c r="L898" s="468"/>
      <c r="M898" s="466"/>
      <c r="N898" s="468"/>
      <c r="O898" s="466"/>
      <c r="P898" s="469"/>
      <c r="Q898" s="466"/>
      <c r="R898" s="466"/>
      <c r="S898" s="470"/>
      <c r="T898" s="466"/>
    </row>
    <row r="899" spans="1:20" s="19" customFormat="1" ht="30" customHeight="1" x14ac:dyDescent="0.3">
      <c r="A899" s="171" t="s">
        <v>133</v>
      </c>
      <c r="B899" s="172" t="s">
        <v>134</v>
      </c>
      <c r="C899" s="174"/>
      <c r="D899" s="174"/>
      <c r="E899" s="174"/>
      <c r="F899" s="174"/>
      <c r="G899" s="174"/>
      <c r="H899" s="174"/>
      <c r="I899" s="175"/>
      <c r="J899" s="174"/>
      <c r="K899" s="176"/>
      <c r="L899" s="176"/>
      <c r="M899" s="174"/>
      <c r="N899" s="176"/>
      <c r="O899" s="174"/>
      <c r="P899" s="177"/>
      <c r="Q899" s="174"/>
      <c r="R899" s="174"/>
      <c r="S899" s="174"/>
      <c r="T899" s="174"/>
    </row>
    <row r="900" spans="1:20" s="19" customFormat="1" ht="30" customHeight="1" x14ac:dyDescent="0.3">
      <c r="A900" s="178" t="s">
        <v>135</v>
      </c>
      <c r="B900" s="756" t="s">
        <v>571</v>
      </c>
      <c r="C900" s="757"/>
      <c r="D900" s="757"/>
      <c r="E900" s="757"/>
      <c r="F900" s="757"/>
      <c r="G900" s="757"/>
      <c r="H900" s="757"/>
      <c r="I900" s="757"/>
      <c r="J900" s="757"/>
      <c r="K900" s="757"/>
      <c r="L900" s="757"/>
      <c r="M900" s="757"/>
      <c r="N900" s="757"/>
      <c r="O900" s="757"/>
      <c r="P900" s="757"/>
      <c r="Q900" s="757"/>
      <c r="R900" s="758"/>
      <c r="S900" s="29">
        <f>+S897</f>
        <v>11995000</v>
      </c>
      <c r="T900" s="174" t="s">
        <v>137</v>
      </c>
    </row>
    <row r="901" spans="1:20" ht="27.75" customHeight="1" x14ac:dyDescent="0.3">
      <c r="A901" s="474"/>
      <c r="B901" s="829" t="s">
        <v>572</v>
      </c>
      <c r="C901" s="773"/>
      <c r="D901" s="773"/>
      <c r="E901" s="773"/>
      <c r="F901" s="773"/>
      <c r="G901" s="773"/>
      <c r="H901" s="773"/>
      <c r="I901" s="773"/>
      <c r="J901" s="773"/>
      <c r="K901" s="773"/>
      <c r="L901" s="773"/>
      <c r="M901" s="773"/>
      <c r="N901" s="773"/>
      <c r="O901" s="773"/>
      <c r="P901" s="773"/>
      <c r="Q901" s="773"/>
      <c r="R901" s="773"/>
      <c r="S901" s="773"/>
      <c r="T901" s="474"/>
    </row>
    <row r="902" spans="1:20" ht="18.75" customHeight="1" x14ac:dyDescent="0.3">
      <c r="A902" s="474"/>
      <c r="B902" s="772" t="s">
        <v>1</v>
      </c>
      <c r="C902" s="773"/>
      <c r="D902" s="773"/>
      <c r="E902" s="773"/>
      <c r="F902" s="773"/>
      <c r="G902" s="773"/>
      <c r="H902" s="773"/>
      <c r="I902" s="773"/>
      <c r="J902" s="773"/>
      <c r="K902" s="773"/>
      <c r="L902" s="773"/>
      <c r="M902" s="773"/>
      <c r="N902" s="773"/>
      <c r="O902" s="773"/>
      <c r="P902" s="773"/>
      <c r="Q902" s="773"/>
      <c r="R902" s="773"/>
      <c r="S902" s="773"/>
      <c r="T902" s="474"/>
    </row>
    <row r="903" spans="1:20" ht="18.75" customHeight="1" x14ac:dyDescent="0.3">
      <c r="A903" s="474"/>
      <c r="B903" s="772" t="s">
        <v>2</v>
      </c>
      <c r="C903" s="773"/>
      <c r="D903" s="773"/>
      <c r="E903" s="773"/>
      <c r="F903" s="773"/>
      <c r="G903" s="773"/>
      <c r="H903" s="773"/>
      <c r="I903" s="773"/>
      <c r="J903" s="773"/>
      <c r="K903" s="773"/>
      <c r="L903" s="773"/>
      <c r="M903" s="773"/>
      <c r="N903" s="773"/>
      <c r="O903" s="773"/>
      <c r="P903" s="773"/>
      <c r="Q903" s="773"/>
      <c r="R903" s="773"/>
      <c r="S903" s="773"/>
      <c r="T903" s="474"/>
    </row>
    <row r="904" spans="1:20" ht="18.75" customHeight="1" x14ac:dyDescent="0.3">
      <c r="A904" s="475"/>
      <c r="B904" s="809" t="str">
        <f>B875</f>
        <v>(Kèm theo Quyết định số     /QĐ-UBND ngày     tháng     năm 2026 của Ủy ban nhân dân xã Thuận An)</v>
      </c>
      <c r="C904" s="773"/>
      <c r="D904" s="773"/>
      <c r="E904" s="773"/>
      <c r="F904" s="773"/>
      <c r="G904" s="773"/>
      <c r="H904" s="773"/>
      <c r="I904" s="773"/>
      <c r="J904" s="773"/>
      <c r="K904" s="773"/>
      <c r="L904" s="773"/>
      <c r="M904" s="773"/>
      <c r="N904" s="773"/>
      <c r="O904" s="773"/>
      <c r="P904" s="773"/>
      <c r="Q904" s="773"/>
      <c r="R904" s="773"/>
      <c r="S904" s="773"/>
      <c r="T904" s="475"/>
    </row>
    <row r="905" spans="1:20" s="19" customFormat="1" ht="36" customHeight="1" thickBot="1" x14ac:dyDescent="0.35">
      <c r="A905" s="272" t="s">
        <v>3</v>
      </c>
      <c r="B905" s="273" t="s">
        <v>4</v>
      </c>
      <c r="C905" s="233"/>
      <c r="D905" s="233"/>
      <c r="E905" s="233"/>
      <c r="F905" s="233"/>
      <c r="G905" s="233"/>
      <c r="H905" s="233"/>
      <c r="I905" s="234"/>
      <c r="J905" s="233"/>
      <c r="K905" s="235"/>
      <c r="L905" s="235"/>
      <c r="M905" s="233"/>
      <c r="N905" s="235"/>
      <c r="O905" s="233"/>
      <c r="P905" s="236"/>
      <c r="Q905" s="233"/>
      <c r="R905" s="233"/>
      <c r="S905" s="237"/>
      <c r="T905" s="233"/>
    </row>
    <row r="906" spans="1:20" s="19" customFormat="1" ht="44.25" customHeight="1" x14ac:dyDescent="0.3">
      <c r="A906" s="810" t="s">
        <v>5</v>
      </c>
      <c r="B906" s="812" t="s">
        <v>6</v>
      </c>
      <c r="C906" s="814" t="s">
        <v>7</v>
      </c>
      <c r="D906" s="817" t="s">
        <v>959</v>
      </c>
      <c r="E906" s="818"/>
      <c r="F906" s="819"/>
      <c r="G906" s="817" t="s">
        <v>960</v>
      </c>
      <c r="H906" s="818"/>
      <c r="I906" s="819"/>
      <c r="J906" s="817" t="s">
        <v>961</v>
      </c>
      <c r="K906" s="818"/>
      <c r="L906" s="819"/>
      <c r="M906" s="820" t="s">
        <v>8</v>
      </c>
      <c r="N906" s="823" t="s">
        <v>9</v>
      </c>
      <c r="O906" s="823" t="s">
        <v>10</v>
      </c>
      <c r="P906" s="824" t="s">
        <v>11</v>
      </c>
      <c r="Q906" s="824" t="s">
        <v>12</v>
      </c>
      <c r="R906" s="824" t="s">
        <v>13</v>
      </c>
      <c r="S906" s="812" t="s">
        <v>14</v>
      </c>
      <c r="T906" s="825" t="s">
        <v>15</v>
      </c>
    </row>
    <row r="907" spans="1:20" s="19" customFormat="1" ht="30.75" customHeight="1" x14ac:dyDescent="0.3">
      <c r="A907" s="811"/>
      <c r="B907" s="813"/>
      <c r="C907" s="815"/>
      <c r="D907" s="827" t="s">
        <v>16</v>
      </c>
      <c r="E907" s="803" t="s">
        <v>17</v>
      </c>
      <c r="F907" s="828"/>
      <c r="G907" s="827" t="s">
        <v>16</v>
      </c>
      <c r="H907" s="803" t="s">
        <v>17</v>
      </c>
      <c r="I907" s="828"/>
      <c r="J907" s="800" t="s">
        <v>18</v>
      </c>
      <c r="K907" s="803" t="s">
        <v>17</v>
      </c>
      <c r="L907" s="828"/>
      <c r="M907" s="821"/>
      <c r="N907" s="813"/>
      <c r="O907" s="813"/>
      <c r="P907" s="813"/>
      <c r="Q907" s="813"/>
      <c r="R907" s="813"/>
      <c r="S907" s="813"/>
      <c r="T907" s="826"/>
    </row>
    <row r="908" spans="1:20" s="19" customFormat="1" ht="58.5" customHeight="1" x14ac:dyDescent="0.3">
      <c r="A908" s="801"/>
      <c r="B908" s="766"/>
      <c r="C908" s="816"/>
      <c r="D908" s="801"/>
      <c r="E908" s="167" t="s">
        <v>962</v>
      </c>
      <c r="F908" s="185" t="s">
        <v>963</v>
      </c>
      <c r="G908" s="801"/>
      <c r="H908" s="167" t="s">
        <v>962</v>
      </c>
      <c r="I908" s="186" t="s">
        <v>963</v>
      </c>
      <c r="J908" s="801"/>
      <c r="K908" s="167" t="s">
        <v>962</v>
      </c>
      <c r="L908" s="185" t="s">
        <v>963</v>
      </c>
      <c r="M908" s="822"/>
      <c r="N908" s="766"/>
      <c r="O908" s="766"/>
      <c r="P908" s="766"/>
      <c r="Q908" s="766"/>
      <c r="R908" s="766"/>
      <c r="S908" s="766"/>
      <c r="T908" s="808"/>
    </row>
    <row r="909" spans="1:20" s="19" customFormat="1" ht="128.25" customHeight="1" x14ac:dyDescent="0.3">
      <c r="A909" s="179" t="s">
        <v>573</v>
      </c>
      <c r="B909" s="44" t="s">
        <v>574</v>
      </c>
      <c r="C909" s="49" t="s">
        <v>744</v>
      </c>
      <c r="D909" s="180">
        <f>E909+F909</f>
        <v>140</v>
      </c>
      <c r="E909" s="143">
        <v>50</v>
      </c>
      <c r="F909" s="181">
        <v>90</v>
      </c>
      <c r="G909" s="180">
        <f>+H909+I909</f>
        <v>140</v>
      </c>
      <c r="H909" s="143">
        <v>50</v>
      </c>
      <c r="I909" s="182">
        <v>90</v>
      </c>
      <c r="J909" s="180">
        <f>K909+L909</f>
        <v>62.5</v>
      </c>
      <c r="K909" s="143">
        <v>0</v>
      </c>
      <c r="L909" s="181">
        <v>62.5</v>
      </c>
      <c r="M909" s="377">
        <v>0</v>
      </c>
      <c r="N909" s="183">
        <f>L909/F909</f>
        <v>0.69444444444444442</v>
      </c>
      <c r="O909" s="142" t="s">
        <v>21</v>
      </c>
      <c r="P909" s="144" t="s">
        <v>140</v>
      </c>
      <c r="Q909" s="144" t="s">
        <v>23</v>
      </c>
      <c r="R909" s="138" t="s">
        <v>24</v>
      </c>
      <c r="S909" s="138" t="s">
        <v>25</v>
      </c>
      <c r="T909" s="184" t="s">
        <v>575</v>
      </c>
    </row>
    <row r="910" spans="1:20" s="19" customFormat="1" ht="30" customHeight="1" x14ac:dyDescent="0.3">
      <c r="A910" s="265" t="s">
        <v>27</v>
      </c>
      <c r="B910" s="266" t="s">
        <v>777</v>
      </c>
      <c r="C910" s="267"/>
      <c r="D910" s="267"/>
      <c r="E910" s="267"/>
      <c r="F910" s="267"/>
      <c r="G910" s="267"/>
      <c r="H910" s="267"/>
      <c r="I910" s="268"/>
      <c r="J910" s="267"/>
      <c r="K910" s="269"/>
      <c r="L910" s="269"/>
      <c r="M910" s="267"/>
      <c r="N910" s="269"/>
      <c r="O910" s="267"/>
      <c r="P910" s="270"/>
      <c r="Q910" s="267"/>
      <c r="R910" s="267"/>
      <c r="S910" s="267"/>
      <c r="T910" s="267"/>
    </row>
    <row r="911" spans="1:20" s="19" customFormat="1" ht="60" customHeight="1" x14ac:dyDescent="0.3">
      <c r="A911" s="781" t="s">
        <v>5</v>
      </c>
      <c r="B911" s="783" t="s">
        <v>663</v>
      </c>
      <c r="C911" s="783" t="s">
        <v>664</v>
      </c>
      <c r="D911" s="785" t="s">
        <v>665</v>
      </c>
      <c r="E911" s="786"/>
      <c r="F911" s="786"/>
      <c r="G911" s="787"/>
      <c r="H911" s="788" t="s">
        <v>666</v>
      </c>
      <c r="I911" s="790" t="s">
        <v>667</v>
      </c>
      <c r="J911" s="760"/>
      <c r="K911" s="791"/>
      <c r="L911" s="792" t="s">
        <v>668</v>
      </c>
      <c r="M911" s="793"/>
      <c r="N911" s="794" t="s">
        <v>43</v>
      </c>
      <c r="O911" s="783" t="s">
        <v>669</v>
      </c>
      <c r="P911" s="796" t="s">
        <v>670</v>
      </c>
      <c r="Q911" s="796" t="s">
        <v>42</v>
      </c>
      <c r="R911" s="783" t="s">
        <v>671</v>
      </c>
      <c r="S911" s="783" t="s">
        <v>44</v>
      </c>
      <c r="T911" s="798" t="s">
        <v>15</v>
      </c>
    </row>
    <row r="912" spans="1:20" s="19" customFormat="1" ht="95.25" customHeight="1" x14ac:dyDescent="0.3">
      <c r="A912" s="782"/>
      <c r="B912" s="784"/>
      <c r="C912" s="784"/>
      <c r="D912" s="407" t="s">
        <v>672</v>
      </c>
      <c r="E912" s="407" t="s">
        <v>673</v>
      </c>
      <c r="F912" s="407" t="s">
        <v>759</v>
      </c>
      <c r="G912" s="407" t="s">
        <v>17</v>
      </c>
      <c r="H912" s="789"/>
      <c r="I912" s="125" t="s">
        <v>674</v>
      </c>
      <c r="J912" s="418" t="s">
        <v>675</v>
      </c>
      <c r="K912" s="81" t="s">
        <v>676</v>
      </c>
      <c r="L912" s="82" t="s">
        <v>677</v>
      </c>
      <c r="M912" s="83" t="s">
        <v>678</v>
      </c>
      <c r="N912" s="795"/>
      <c r="O912" s="784"/>
      <c r="P912" s="797"/>
      <c r="Q912" s="797"/>
      <c r="R912" s="784"/>
      <c r="S912" s="784"/>
      <c r="T912" s="799"/>
    </row>
    <row r="913" spans="1:21" s="19" customFormat="1" ht="117" customHeight="1" x14ac:dyDescent="0.3">
      <c r="A913" s="226" t="s">
        <v>19</v>
      </c>
      <c r="B913" s="227" t="s">
        <v>819</v>
      </c>
      <c r="C913" s="422" t="s">
        <v>823</v>
      </c>
      <c r="D913" s="418" t="s">
        <v>498</v>
      </c>
      <c r="E913" s="418" t="s">
        <v>680</v>
      </c>
      <c r="F913" s="419">
        <v>34.200000000000003</v>
      </c>
      <c r="G913" s="420" t="s">
        <v>791</v>
      </c>
      <c r="H913" s="420" t="s">
        <v>824</v>
      </c>
      <c r="I913" s="271">
        <v>34.200000000000003</v>
      </c>
      <c r="J913" s="419">
        <v>0</v>
      </c>
      <c r="K913" s="419">
        <f>I913+J913</f>
        <v>34.200000000000003</v>
      </c>
      <c r="L913" s="82"/>
      <c r="M913" s="83"/>
      <c r="N913" s="230">
        <v>1</v>
      </c>
      <c r="O913" s="423">
        <v>1</v>
      </c>
      <c r="P913" s="231">
        <v>6572000</v>
      </c>
      <c r="Q913" s="231">
        <f>+ROUND((P913*N913*K913),-3)</f>
        <v>224762000</v>
      </c>
      <c r="R913" s="231">
        <f>-ROUND((38000*J913*0.5%),-3)</f>
        <v>0</v>
      </c>
      <c r="S913" s="408">
        <f>+Q913+R913</f>
        <v>224762000</v>
      </c>
      <c r="T913" s="830" t="s">
        <v>833</v>
      </c>
    </row>
    <row r="914" spans="1:21" s="19" customFormat="1" ht="117" customHeight="1" x14ac:dyDescent="0.3">
      <c r="A914" s="226" t="s">
        <v>98</v>
      </c>
      <c r="B914" s="227" t="s">
        <v>679</v>
      </c>
      <c r="C914" s="228" t="s">
        <v>825</v>
      </c>
      <c r="D914" s="418" t="s">
        <v>522</v>
      </c>
      <c r="E914" s="418" t="s">
        <v>680</v>
      </c>
      <c r="F914" s="419">
        <v>28.3</v>
      </c>
      <c r="G914" s="420" t="s">
        <v>681</v>
      </c>
      <c r="H914" s="420" t="s">
        <v>826</v>
      </c>
      <c r="I914" s="271">
        <v>28.3</v>
      </c>
      <c r="J914" s="419">
        <v>0</v>
      </c>
      <c r="K914" s="419">
        <f>I914+J914</f>
        <v>28.3</v>
      </c>
      <c r="L914" s="82"/>
      <c r="M914" s="83"/>
      <c r="N914" s="230">
        <v>1</v>
      </c>
      <c r="O914" s="423">
        <v>1</v>
      </c>
      <c r="P914" s="231">
        <v>856000</v>
      </c>
      <c r="Q914" s="231">
        <f>+ROUND((P914*N914*K914),-3)</f>
        <v>24225000</v>
      </c>
      <c r="R914" s="231">
        <f>-ROUND((38000*J914*0.5%),-3)</f>
        <v>0</v>
      </c>
      <c r="S914" s="408">
        <f>+Q914+R914</f>
        <v>24225000</v>
      </c>
      <c r="T914" s="831"/>
    </row>
    <row r="915" spans="1:21" s="19" customFormat="1" ht="30" customHeight="1" x14ac:dyDescent="0.3">
      <c r="A915" s="272" t="s">
        <v>28</v>
      </c>
      <c r="B915" s="273" t="s">
        <v>315</v>
      </c>
      <c r="C915" s="233"/>
      <c r="D915" s="233"/>
      <c r="E915" s="233"/>
      <c r="F915" s="233"/>
      <c r="G915" s="233"/>
      <c r="H915" s="233"/>
      <c r="I915" s="234"/>
      <c r="J915" s="233"/>
      <c r="K915" s="235"/>
      <c r="L915" s="235"/>
      <c r="M915" s="233"/>
      <c r="N915" s="235"/>
      <c r="O915" s="233"/>
      <c r="P915" s="236"/>
      <c r="Q915" s="237"/>
      <c r="R915" s="237"/>
      <c r="S915" s="237"/>
      <c r="T915" s="233"/>
    </row>
    <row r="916" spans="1:21" s="19" customFormat="1" ht="30" customHeight="1" x14ac:dyDescent="0.3">
      <c r="A916" s="274" t="s">
        <v>56</v>
      </c>
      <c r="B916" s="275" t="s">
        <v>201</v>
      </c>
      <c r="C916" s="276"/>
      <c r="D916" s="276"/>
      <c r="E916" s="276"/>
      <c r="F916" s="276"/>
      <c r="G916" s="276"/>
      <c r="H916" s="276"/>
      <c r="I916" s="277"/>
      <c r="J916" s="276"/>
      <c r="K916" s="278"/>
      <c r="L916" s="278"/>
      <c r="M916" s="276"/>
      <c r="N916" s="278"/>
      <c r="O916" s="276"/>
      <c r="P916" s="279"/>
      <c r="Q916" s="276"/>
      <c r="R916" s="276"/>
      <c r="S916" s="280">
        <f>S932</f>
        <v>27227000</v>
      </c>
      <c r="T916" s="276"/>
    </row>
    <row r="917" spans="1:21" s="19" customFormat="1" ht="18.75" customHeight="1" x14ac:dyDescent="0.3">
      <c r="A917" s="832"/>
      <c r="B917" s="833" t="s">
        <v>51</v>
      </c>
      <c r="C917" s="833" t="s">
        <v>58</v>
      </c>
      <c r="D917" s="834" t="s">
        <v>59</v>
      </c>
      <c r="E917" s="835" t="s">
        <v>60</v>
      </c>
      <c r="F917" s="835" t="s">
        <v>61</v>
      </c>
      <c r="G917" s="835" t="s">
        <v>62</v>
      </c>
      <c r="H917" s="835" t="s">
        <v>63</v>
      </c>
      <c r="I917" s="836" t="s">
        <v>64</v>
      </c>
      <c r="J917" s="837"/>
      <c r="K917" s="837"/>
      <c r="L917" s="837"/>
      <c r="M917" s="822"/>
      <c r="N917" s="838" t="s">
        <v>3</v>
      </c>
      <c r="O917" s="838" t="s">
        <v>65</v>
      </c>
      <c r="P917" s="838" t="s">
        <v>66</v>
      </c>
      <c r="Q917" s="838" t="s">
        <v>67</v>
      </c>
      <c r="R917" s="833" t="s">
        <v>68</v>
      </c>
      <c r="S917" s="833" t="s">
        <v>69</v>
      </c>
      <c r="T917" s="833" t="s">
        <v>70</v>
      </c>
    </row>
    <row r="918" spans="1:21" s="19" customFormat="1" ht="18.75" customHeight="1" x14ac:dyDescent="0.3">
      <c r="A918" s="766"/>
      <c r="B918" s="766"/>
      <c r="C918" s="766"/>
      <c r="D918" s="766"/>
      <c r="E918" s="766"/>
      <c r="F918" s="766"/>
      <c r="G918" s="766"/>
      <c r="H918" s="766"/>
      <c r="I918" s="168" t="s">
        <v>71</v>
      </c>
      <c r="J918" s="159" t="s">
        <v>72</v>
      </c>
      <c r="K918" s="159" t="s">
        <v>73</v>
      </c>
      <c r="L918" s="45" t="s">
        <v>74</v>
      </c>
      <c r="M918" s="204" t="s">
        <v>75</v>
      </c>
      <c r="N918" s="766"/>
      <c r="O918" s="766"/>
      <c r="P918" s="766"/>
      <c r="Q918" s="766"/>
      <c r="R918" s="766"/>
      <c r="S918" s="766"/>
      <c r="T918" s="766"/>
    </row>
    <row r="919" spans="1:21" s="19" customFormat="1" ht="78" customHeight="1" x14ac:dyDescent="0.3">
      <c r="A919" s="196" t="s">
        <v>5</v>
      </c>
      <c r="B919" s="197" t="s">
        <v>76</v>
      </c>
      <c r="C919" s="197" t="s">
        <v>77</v>
      </c>
      <c r="D919" s="49" t="s">
        <v>78</v>
      </c>
      <c r="E919" s="159" t="s">
        <v>79</v>
      </c>
      <c r="F919" s="159" t="s">
        <v>80</v>
      </c>
      <c r="G919" s="159" t="s">
        <v>81</v>
      </c>
      <c r="H919" s="45" t="s">
        <v>82</v>
      </c>
      <c r="I919" s="168" t="s">
        <v>83</v>
      </c>
      <c r="J919" s="242" t="s">
        <v>84</v>
      </c>
      <c r="K919" s="242" t="s">
        <v>85</v>
      </c>
      <c r="L919" s="49" t="s">
        <v>86</v>
      </c>
      <c r="M919" s="204" t="s">
        <v>87</v>
      </c>
      <c r="N919" s="159" t="s">
        <v>88</v>
      </c>
      <c r="O919" s="159" t="s">
        <v>89</v>
      </c>
      <c r="P919" s="159" t="s">
        <v>90</v>
      </c>
      <c r="Q919" s="159" t="s">
        <v>91</v>
      </c>
      <c r="R919" s="159" t="s">
        <v>92</v>
      </c>
      <c r="S919" s="159" t="s">
        <v>964</v>
      </c>
      <c r="T919" s="159" t="s">
        <v>15</v>
      </c>
    </row>
    <row r="920" spans="1:21" s="19" customFormat="1" ht="31.5" customHeight="1" x14ac:dyDescent="0.3">
      <c r="A920" s="253"/>
      <c r="B920" s="424" t="s">
        <v>576</v>
      </c>
      <c r="C920" s="424"/>
      <c r="D920" s="281"/>
      <c r="E920" s="421"/>
      <c r="F920" s="159"/>
      <c r="G920" s="198"/>
      <c r="H920" s="199"/>
      <c r="I920" s="245"/>
      <c r="J920" s="242"/>
      <c r="K920" s="242"/>
      <c r="L920" s="49"/>
      <c r="M920" s="204"/>
      <c r="N920" s="159"/>
      <c r="O920" s="159"/>
      <c r="P920" s="159"/>
      <c r="Q920" s="159"/>
      <c r="R920" s="159"/>
      <c r="S920" s="159"/>
      <c r="T920" s="159"/>
    </row>
    <row r="921" spans="1:21" s="19" customFormat="1" ht="46.5" customHeight="1" x14ac:dyDescent="0.3">
      <c r="A921" s="254">
        <v>1</v>
      </c>
      <c r="B921" s="258" t="s">
        <v>214</v>
      </c>
      <c r="C921" s="258" t="s">
        <v>577</v>
      </c>
      <c r="D921" s="282" t="s">
        <v>957</v>
      </c>
      <c r="E921" s="158" t="s">
        <v>578</v>
      </c>
      <c r="F921" s="159"/>
      <c r="G921" s="325">
        <f>2026-E921</f>
        <v>15</v>
      </c>
      <c r="H921" s="326" t="s">
        <v>95</v>
      </c>
      <c r="I921" s="160">
        <f>5*6</f>
        <v>30</v>
      </c>
      <c r="J921" s="140" t="s">
        <v>96</v>
      </c>
      <c r="K921" s="142">
        <f>+I921-J921</f>
        <v>30</v>
      </c>
      <c r="L921" s="161">
        <v>0.99199999999999999</v>
      </c>
      <c r="M921" s="144">
        <v>268000</v>
      </c>
      <c r="N921" s="145">
        <v>0.6</v>
      </c>
      <c r="O921" s="144">
        <f>+M921</f>
        <v>268000</v>
      </c>
      <c r="P921" s="45">
        <f>+ROUND((K921*L921*O921*N921),-3)</f>
        <v>4785000</v>
      </c>
      <c r="Q921" s="144" t="s">
        <v>97</v>
      </c>
      <c r="R921" s="144" t="s">
        <v>97</v>
      </c>
      <c r="S921" s="45">
        <f>P921</f>
        <v>4785000</v>
      </c>
      <c r="T921" s="138" t="s">
        <v>166</v>
      </c>
    </row>
    <row r="922" spans="1:21" s="19" customFormat="1" ht="44.25" customHeight="1" x14ac:dyDescent="0.3">
      <c r="A922" s="254">
        <v>2</v>
      </c>
      <c r="B922" s="258" t="s">
        <v>120</v>
      </c>
      <c r="C922" s="258" t="s">
        <v>579</v>
      </c>
      <c r="D922" s="283" t="s">
        <v>241</v>
      </c>
      <c r="E922" s="158" t="s">
        <v>578</v>
      </c>
      <c r="F922" s="159"/>
      <c r="G922" s="325">
        <f>2026-E922</f>
        <v>15</v>
      </c>
      <c r="H922" s="326" t="s">
        <v>95</v>
      </c>
      <c r="I922" s="160">
        <f>3.8*6</f>
        <v>22.799999999999997</v>
      </c>
      <c r="J922" s="140" t="s">
        <v>96</v>
      </c>
      <c r="K922" s="138">
        <f>+I922-J922</f>
        <v>22.799999999999997</v>
      </c>
      <c r="L922" s="161">
        <v>0.99199999999999999</v>
      </c>
      <c r="M922" s="144">
        <v>103000</v>
      </c>
      <c r="N922" s="145">
        <v>0.6</v>
      </c>
      <c r="O922" s="144">
        <f>+M922</f>
        <v>103000</v>
      </c>
      <c r="P922" s="45">
        <f>+ROUND((K922*L922*O922*N922),-3)</f>
        <v>1398000</v>
      </c>
      <c r="Q922" s="144" t="s">
        <v>97</v>
      </c>
      <c r="R922" s="144" t="s">
        <v>97</v>
      </c>
      <c r="S922" s="45">
        <f>P922</f>
        <v>1398000</v>
      </c>
      <c r="T922" s="138" t="s">
        <v>466</v>
      </c>
      <c r="U922" s="18"/>
    </row>
    <row r="923" spans="1:21" s="19" customFormat="1" ht="58.5" customHeight="1" x14ac:dyDescent="0.3">
      <c r="A923" s="254">
        <v>3</v>
      </c>
      <c r="B923" s="258" t="s">
        <v>113</v>
      </c>
      <c r="C923" s="258" t="s">
        <v>580</v>
      </c>
      <c r="D923" s="284" t="s">
        <v>241</v>
      </c>
      <c r="E923" s="285" t="s">
        <v>578</v>
      </c>
      <c r="F923" s="159"/>
      <c r="G923" s="325">
        <f>2026-E923</f>
        <v>15</v>
      </c>
      <c r="H923" s="326" t="s">
        <v>95</v>
      </c>
      <c r="I923" s="327">
        <f>3.8*6</f>
        <v>22.799999999999997</v>
      </c>
      <c r="J923" s="140" t="s">
        <v>96</v>
      </c>
      <c r="K923" s="142">
        <f>+I923-J923</f>
        <v>22.799999999999997</v>
      </c>
      <c r="L923" s="161">
        <v>0.99199999999999999</v>
      </c>
      <c r="M923" s="144">
        <v>418000</v>
      </c>
      <c r="N923" s="145">
        <v>0.6</v>
      </c>
      <c r="O923" s="144">
        <f>+M923</f>
        <v>418000</v>
      </c>
      <c r="P923" s="45">
        <f>+ROUND((K923*L923*O923*N923),-3)</f>
        <v>5672000</v>
      </c>
      <c r="Q923" s="144" t="s">
        <v>97</v>
      </c>
      <c r="R923" s="144" t="s">
        <v>97</v>
      </c>
      <c r="S923" s="45">
        <f>P923</f>
        <v>5672000</v>
      </c>
      <c r="T923" s="138" t="s">
        <v>211</v>
      </c>
      <c r="U923" s="18"/>
    </row>
    <row r="924" spans="1:21" s="19" customFormat="1" ht="31.5" customHeight="1" x14ac:dyDescent="0.3">
      <c r="A924" s="253"/>
      <c r="B924" s="424" t="s">
        <v>581</v>
      </c>
      <c r="C924" s="258"/>
      <c r="D924" s="282"/>
      <c r="E924" s="158"/>
      <c r="F924" s="159"/>
      <c r="G924" s="325"/>
      <c r="H924" s="326"/>
      <c r="I924" s="160"/>
      <c r="J924" s="140"/>
      <c r="K924" s="142"/>
      <c r="L924" s="161"/>
      <c r="M924" s="144"/>
      <c r="N924" s="145"/>
      <c r="O924" s="144"/>
      <c r="P924" s="45"/>
      <c r="Q924" s="144"/>
      <c r="R924" s="144"/>
      <c r="S924" s="45"/>
      <c r="T924" s="138"/>
      <c r="U924" s="18"/>
    </row>
    <row r="925" spans="1:21" s="19" customFormat="1" ht="41.25" customHeight="1" x14ac:dyDescent="0.3">
      <c r="A925" s="254">
        <v>1</v>
      </c>
      <c r="B925" s="258" t="s">
        <v>214</v>
      </c>
      <c r="C925" s="258" t="s">
        <v>582</v>
      </c>
      <c r="D925" s="282" t="s">
        <v>957</v>
      </c>
      <c r="E925" s="158" t="s">
        <v>578</v>
      </c>
      <c r="F925" s="159"/>
      <c r="G925" s="325">
        <f t="shared" ref="G925:G931" si="92">2026-E925</f>
        <v>15</v>
      </c>
      <c r="H925" s="326" t="s">
        <v>95</v>
      </c>
      <c r="I925" s="160">
        <f>5*5</f>
        <v>25</v>
      </c>
      <c r="J925" s="140" t="s">
        <v>96</v>
      </c>
      <c r="K925" s="142">
        <f t="shared" ref="K925:K931" si="93">+I925-J925</f>
        <v>25</v>
      </c>
      <c r="L925" s="161">
        <v>0.99199999999999999</v>
      </c>
      <c r="M925" s="144">
        <v>268000</v>
      </c>
      <c r="N925" s="145">
        <v>0.6</v>
      </c>
      <c r="O925" s="144">
        <f>+M925</f>
        <v>268000</v>
      </c>
      <c r="P925" s="45">
        <f t="shared" ref="P925:P931" si="94">+ROUND((K925*L925*O925*N925),-3)</f>
        <v>3988000</v>
      </c>
      <c r="Q925" s="144" t="s">
        <v>97</v>
      </c>
      <c r="R925" s="144" t="s">
        <v>97</v>
      </c>
      <c r="S925" s="45">
        <f t="shared" ref="S925:S931" si="95">P925</f>
        <v>3988000</v>
      </c>
      <c r="T925" s="138" t="s">
        <v>166</v>
      </c>
      <c r="U925" s="18"/>
    </row>
    <row r="926" spans="1:21" s="19" customFormat="1" ht="48.75" customHeight="1" x14ac:dyDescent="0.3">
      <c r="A926" s="254">
        <v>2</v>
      </c>
      <c r="B926" s="258" t="s">
        <v>120</v>
      </c>
      <c r="C926" s="258" t="s">
        <v>583</v>
      </c>
      <c r="D926" s="282" t="s">
        <v>957</v>
      </c>
      <c r="E926" s="158" t="s">
        <v>578</v>
      </c>
      <c r="F926" s="159"/>
      <c r="G926" s="325">
        <f t="shared" si="92"/>
        <v>15</v>
      </c>
      <c r="H926" s="326" t="s">
        <v>95</v>
      </c>
      <c r="I926" s="160">
        <f>3.8*4.9</f>
        <v>18.62</v>
      </c>
      <c r="J926" s="140" t="s">
        <v>96</v>
      </c>
      <c r="K926" s="138">
        <f t="shared" si="93"/>
        <v>18.62</v>
      </c>
      <c r="L926" s="161">
        <v>0.99199999999999999</v>
      </c>
      <c r="M926" s="144">
        <v>103000</v>
      </c>
      <c r="N926" s="145">
        <v>0.6</v>
      </c>
      <c r="O926" s="144">
        <f>+M926</f>
        <v>103000</v>
      </c>
      <c r="P926" s="45">
        <f t="shared" si="94"/>
        <v>1142000</v>
      </c>
      <c r="Q926" s="144" t="s">
        <v>97</v>
      </c>
      <c r="R926" s="144" t="s">
        <v>97</v>
      </c>
      <c r="S926" s="45">
        <f t="shared" si="95"/>
        <v>1142000</v>
      </c>
      <c r="T926" s="138" t="s">
        <v>466</v>
      </c>
    </row>
    <row r="927" spans="1:21" s="19" customFormat="1" ht="62.25" customHeight="1" x14ac:dyDescent="0.3">
      <c r="A927" s="254">
        <v>3</v>
      </c>
      <c r="B927" s="258" t="s">
        <v>113</v>
      </c>
      <c r="C927" s="258" t="s">
        <v>584</v>
      </c>
      <c r="D927" s="282" t="s">
        <v>957</v>
      </c>
      <c r="E927" s="158" t="s">
        <v>578</v>
      </c>
      <c r="F927" s="159"/>
      <c r="G927" s="325">
        <f t="shared" si="92"/>
        <v>15</v>
      </c>
      <c r="H927" s="326" t="s">
        <v>95</v>
      </c>
      <c r="I927" s="160">
        <f>3.8*5</f>
        <v>19</v>
      </c>
      <c r="J927" s="140" t="s">
        <v>96</v>
      </c>
      <c r="K927" s="142">
        <f t="shared" si="93"/>
        <v>19</v>
      </c>
      <c r="L927" s="161">
        <v>0.99199999999999999</v>
      </c>
      <c r="M927" s="144">
        <v>418000</v>
      </c>
      <c r="N927" s="145">
        <v>0.6</v>
      </c>
      <c r="O927" s="144">
        <f>+M927</f>
        <v>418000</v>
      </c>
      <c r="P927" s="45">
        <f t="shared" si="94"/>
        <v>4727000</v>
      </c>
      <c r="Q927" s="144" t="s">
        <v>97</v>
      </c>
      <c r="R927" s="144" t="s">
        <v>97</v>
      </c>
      <c r="S927" s="45">
        <f t="shared" si="95"/>
        <v>4727000</v>
      </c>
      <c r="T927" s="138" t="s">
        <v>211</v>
      </c>
    </row>
    <row r="928" spans="1:21" s="19" customFormat="1" ht="56.25" customHeight="1" x14ac:dyDescent="0.3">
      <c r="A928" s="254">
        <v>4</v>
      </c>
      <c r="B928" s="258" t="s">
        <v>585</v>
      </c>
      <c r="C928" s="258" t="s">
        <v>586</v>
      </c>
      <c r="D928" s="283" t="s">
        <v>587</v>
      </c>
      <c r="E928" s="158" t="s">
        <v>578</v>
      </c>
      <c r="F928" s="159"/>
      <c r="G928" s="325">
        <f t="shared" si="92"/>
        <v>15</v>
      </c>
      <c r="H928" s="326" t="s">
        <v>95</v>
      </c>
      <c r="I928" s="160">
        <v>1</v>
      </c>
      <c r="J928" s="140" t="s">
        <v>96</v>
      </c>
      <c r="K928" s="142">
        <f t="shared" si="93"/>
        <v>1</v>
      </c>
      <c r="L928" s="161">
        <v>0.99199999999999999</v>
      </c>
      <c r="M928" s="144">
        <v>2923000</v>
      </c>
      <c r="N928" s="145">
        <v>0.6</v>
      </c>
      <c r="O928" s="144">
        <f>+M928</f>
        <v>2923000</v>
      </c>
      <c r="P928" s="45">
        <f t="shared" si="94"/>
        <v>1740000</v>
      </c>
      <c r="Q928" s="144" t="s">
        <v>97</v>
      </c>
      <c r="R928" s="144" t="s">
        <v>97</v>
      </c>
      <c r="S928" s="45">
        <f t="shared" si="95"/>
        <v>1740000</v>
      </c>
      <c r="T928" s="138" t="s">
        <v>588</v>
      </c>
    </row>
    <row r="929" spans="1:20" s="19" customFormat="1" ht="137.25" customHeight="1" x14ac:dyDescent="0.3">
      <c r="A929" s="254">
        <v>5</v>
      </c>
      <c r="B929" s="258" t="s">
        <v>111</v>
      </c>
      <c r="C929" s="258" t="s">
        <v>970</v>
      </c>
      <c r="D929" s="282" t="s">
        <v>957</v>
      </c>
      <c r="E929" s="158" t="s">
        <v>578</v>
      </c>
      <c r="F929" s="159"/>
      <c r="G929" s="325">
        <f t="shared" si="92"/>
        <v>15</v>
      </c>
      <c r="H929" s="326" t="s">
        <v>95</v>
      </c>
      <c r="I929" s="160">
        <f>1.3*3.7</f>
        <v>4.8100000000000005</v>
      </c>
      <c r="J929" s="140" t="s">
        <v>96</v>
      </c>
      <c r="K929" s="142">
        <f t="shared" si="93"/>
        <v>4.8100000000000005</v>
      </c>
      <c r="L929" s="161">
        <v>0.99199999999999999</v>
      </c>
      <c r="M929" s="144">
        <v>1400000</v>
      </c>
      <c r="N929" s="145">
        <v>0.6</v>
      </c>
      <c r="O929" s="144">
        <f>+M929*90%*80%</f>
        <v>1008000</v>
      </c>
      <c r="P929" s="45">
        <f t="shared" si="94"/>
        <v>2886000</v>
      </c>
      <c r="Q929" s="144" t="s">
        <v>97</v>
      </c>
      <c r="R929" s="144" t="s">
        <v>97</v>
      </c>
      <c r="S929" s="45">
        <f t="shared" si="95"/>
        <v>2886000</v>
      </c>
      <c r="T929" s="138" t="s">
        <v>589</v>
      </c>
    </row>
    <row r="930" spans="1:20" s="19" customFormat="1" ht="62.25" customHeight="1" x14ac:dyDescent="0.3">
      <c r="A930" s="262" t="s">
        <v>101</v>
      </c>
      <c r="B930" s="258" t="s">
        <v>102</v>
      </c>
      <c r="C930" s="258" t="s">
        <v>949</v>
      </c>
      <c r="D930" s="282" t="s">
        <v>958</v>
      </c>
      <c r="E930" s="158" t="s">
        <v>578</v>
      </c>
      <c r="F930" s="159"/>
      <c r="G930" s="325">
        <f t="shared" si="92"/>
        <v>15</v>
      </c>
      <c r="H930" s="326" t="s">
        <v>95</v>
      </c>
      <c r="I930" s="160">
        <f>0.2*0.7*3.7</f>
        <v>0.51800000000000002</v>
      </c>
      <c r="J930" s="140" t="s">
        <v>96</v>
      </c>
      <c r="K930" s="142">
        <f t="shared" si="93"/>
        <v>0.51800000000000002</v>
      </c>
      <c r="L930" s="161">
        <v>0.99199999999999999</v>
      </c>
      <c r="M930" s="144">
        <v>1961000</v>
      </c>
      <c r="N930" s="145">
        <v>0.6</v>
      </c>
      <c r="O930" s="144">
        <f>+M930</f>
        <v>1961000</v>
      </c>
      <c r="P930" s="45">
        <f t="shared" si="94"/>
        <v>605000</v>
      </c>
      <c r="Q930" s="144" t="s">
        <v>97</v>
      </c>
      <c r="R930" s="144" t="s">
        <v>97</v>
      </c>
      <c r="S930" s="45">
        <f t="shared" si="95"/>
        <v>605000</v>
      </c>
      <c r="T930" s="138" t="s">
        <v>950</v>
      </c>
    </row>
    <row r="931" spans="1:20" s="19" customFormat="1" ht="66.75" customHeight="1" x14ac:dyDescent="0.3">
      <c r="A931" s="254">
        <v>6</v>
      </c>
      <c r="B931" s="258" t="s">
        <v>126</v>
      </c>
      <c r="C931" s="258" t="s">
        <v>590</v>
      </c>
      <c r="D931" s="282" t="s">
        <v>958</v>
      </c>
      <c r="E931" s="158" t="s">
        <v>578</v>
      </c>
      <c r="F931" s="159"/>
      <c r="G931" s="325">
        <f t="shared" si="92"/>
        <v>15</v>
      </c>
      <c r="H931" s="326" t="s">
        <v>95</v>
      </c>
      <c r="I931" s="160">
        <f>0.1*0.5*3.9</f>
        <v>0.19500000000000001</v>
      </c>
      <c r="J931" s="140" t="s">
        <v>96</v>
      </c>
      <c r="K931" s="142">
        <f t="shared" si="93"/>
        <v>0.19500000000000001</v>
      </c>
      <c r="L931" s="161">
        <v>0.99199999999999999</v>
      </c>
      <c r="M931" s="144">
        <v>2446000</v>
      </c>
      <c r="N931" s="145">
        <v>0.6</v>
      </c>
      <c r="O931" s="144">
        <f>+M931</f>
        <v>2446000</v>
      </c>
      <c r="P931" s="45">
        <f t="shared" si="94"/>
        <v>284000</v>
      </c>
      <c r="Q931" s="144" t="s">
        <v>97</v>
      </c>
      <c r="R931" s="144" t="s">
        <v>97</v>
      </c>
      <c r="S931" s="45">
        <f t="shared" si="95"/>
        <v>284000</v>
      </c>
      <c r="T931" s="138" t="s">
        <v>321</v>
      </c>
    </row>
    <row r="932" spans="1:20" s="19" customFormat="1" ht="30" customHeight="1" x14ac:dyDescent="0.3">
      <c r="A932" s="155"/>
      <c r="B932" s="257" t="s">
        <v>55</v>
      </c>
      <c r="C932" s="257"/>
      <c r="D932" s="159"/>
      <c r="E932" s="159"/>
      <c r="F932" s="167"/>
      <c r="G932" s="167"/>
      <c r="H932" s="167"/>
      <c r="I932" s="168">
        <v>0</v>
      </c>
      <c r="J932" s="168">
        <v>0</v>
      </c>
      <c r="K932" s="168">
        <v>0</v>
      </c>
      <c r="L932" s="45"/>
      <c r="M932" s="169"/>
      <c r="N932" s="170"/>
      <c r="O932" s="167"/>
      <c r="P932" s="45">
        <v>0</v>
      </c>
      <c r="Q932" s="45">
        <v>0</v>
      </c>
      <c r="R932" s="45">
        <v>0</v>
      </c>
      <c r="S932" s="45">
        <f>SUM(S921:S931)</f>
        <v>27227000</v>
      </c>
      <c r="T932" s="167"/>
    </row>
    <row r="933" spans="1:20" s="19" customFormat="1" ht="30" customHeight="1" x14ac:dyDescent="0.3">
      <c r="A933" s="171" t="s">
        <v>131</v>
      </c>
      <c r="B933" s="172" t="s">
        <v>132</v>
      </c>
      <c r="C933" s="173"/>
      <c r="D933" s="466"/>
      <c r="E933" s="466"/>
      <c r="F933" s="466"/>
      <c r="G933" s="466"/>
      <c r="H933" s="466"/>
      <c r="I933" s="467"/>
      <c r="J933" s="466"/>
      <c r="K933" s="468"/>
      <c r="L933" s="468"/>
      <c r="M933" s="466"/>
      <c r="N933" s="468"/>
      <c r="O933" s="466"/>
      <c r="P933" s="469"/>
      <c r="Q933" s="466"/>
      <c r="R933" s="466"/>
      <c r="S933" s="470"/>
      <c r="T933" s="466"/>
    </row>
    <row r="934" spans="1:20" s="19" customFormat="1" ht="30" customHeight="1" x14ac:dyDescent="0.3">
      <c r="A934" s="171" t="s">
        <v>133</v>
      </c>
      <c r="B934" s="172" t="s">
        <v>134</v>
      </c>
      <c r="C934" s="174"/>
      <c r="D934" s="174"/>
      <c r="E934" s="174"/>
      <c r="F934" s="174"/>
      <c r="G934" s="174"/>
      <c r="H934" s="174"/>
      <c r="I934" s="175"/>
      <c r="J934" s="174"/>
      <c r="K934" s="176"/>
      <c r="L934" s="176"/>
      <c r="M934" s="174"/>
      <c r="N934" s="176"/>
      <c r="O934" s="174"/>
      <c r="P934" s="177"/>
      <c r="Q934" s="174"/>
      <c r="R934" s="174"/>
      <c r="S934" s="174"/>
      <c r="T934" s="174"/>
    </row>
    <row r="935" spans="1:20" s="19" customFormat="1" ht="30" customHeight="1" x14ac:dyDescent="0.3">
      <c r="A935" s="178" t="s">
        <v>135</v>
      </c>
      <c r="B935" s="756" t="s">
        <v>591</v>
      </c>
      <c r="C935" s="757"/>
      <c r="D935" s="757"/>
      <c r="E935" s="757"/>
      <c r="F935" s="757"/>
      <c r="G935" s="757"/>
      <c r="H935" s="757"/>
      <c r="I935" s="757"/>
      <c r="J935" s="757"/>
      <c r="K935" s="757"/>
      <c r="L935" s="757"/>
      <c r="M935" s="757"/>
      <c r="N935" s="757"/>
      <c r="O935" s="757"/>
      <c r="P935" s="757"/>
      <c r="Q935" s="757"/>
      <c r="R935" s="758"/>
      <c r="S935" s="29">
        <f>+S932</f>
        <v>27227000</v>
      </c>
      <c r="T935" s="174" t="s">
        <v>137</v>
      </c>
    </row>
    <row r="936" spans="1:20" ht="33.75" customHeight="1" x14ac:dyDescent="0.3">
      <c r="A936" s="474"/>
      <c r="B936" s="829" t="s">
        <v>592</v>
      </c>
      <c r="C936" s="773"/>
      <c r="D936" s="773"/>
      <c r="E936" s="773"/>
      <c r="F936" s="773"/>
      <c r="G936" s="773"/>
      <c r="H936" s="773"/>
      <c r="I936" s="773"/>
      <c r="J936" s="773"/>
      <c r="K936" s="773"/>
      <c r="L936" s="773"/>
      <c r="M936" s="773"/>
      <c r="N936" s="773"/>
      <c r="O936" s="773"/>
      <c r="P936" s="773"/>
      <c r="Q936" s="773"/>
      <c r="R936" s="773"/>
      <c r="S936" s="773"/>
      <c r="T936" s="474"/>
    </row>
    <row r="937" spans="1:20" ht="18.75" customHeight="1" x14ac:dyDescent="0.3">
      <c r="A937" s="474"/>
      <c r="B937" s="772" t="s">
        <v>1</v>
      </c>
      <c r="C937" s="773"/>
      <c r="D937" s="773"/>
      <c r="E937" s="773"/>
      <c r="F937" s="773"/>
      <c r="G937" s="773"/>
      <c r="H937" s="773"/>
      <c r="I937" s="773"/>
      <c r="J937" s="773"/>
      <c r="K937" s="773"/>
      <c r="L937" s="773"/>
      <c r="M937" s="773"/>
      <c r="N937" s="773"/>
      <c r="O937" s="773"/>
      <c r="P937" s="773"/>
      <c r="Q937" s="773"/>
      <c r="R937" s="773"/>
      <c r="S937" s="773"/>
      <c r="T937" s="474"/>
    </row>
    <row r="938" spans="1:20" ht="18.75" customHeight="1" x14ac:dyDescent="0.3">
      <c r="A938" s="474"/>
      <c r="B938" s="772" t="s">
        <v>2</v>
      </c>
      <c r="C938" s="773"/>
      <c r="D938" s="773"/>
      <c r="E938" s="773"/>
      <c r="F938" s="773"/>
      <c r="G938" s="773"/>
      <c r="H938" s="773"/>
      <c r="I938" s="773"/>
      <c r="J938" s="773"/>
      <c r="K938" s="773"/>
      <c r="L938" s="773"/>
      <c r="M938" s="773"/>
      <c r="N938" s="773"/>
      <c r="O938" s="773"/>
      <c r="P938" s="773"/>
      <c r="Q938" s="773"/>
      <c r="R938" s="773"/>
      <c r="S938" s="773"/>
      <c r="T938" s="474"/>
    </row>
    <row r="939" spans="1:20" ht="18.75" customHeight="1" x14ac:dyDescent="0.3">
      <c r="A939" s="475"/>
      <c r="B939" s="809" t="str">
        <f>B904</f>
        <v>(Kèm theo Quyết định số     /QĐ-UBND ngày     tháng     năm 2026 của Ủy ban nhân dân xã Thuận An)</v>
      </c>
      <c r="C939" s="773"/>
      <c r="D939" s="773"/>
      <c r="E939" s="773"/>
      <c r="F939" s="773"/>
      <c r="G939" s="773"/>
      <c r="H939" s="773"/>
      <c r="I939" s="773"/>
      <c r="J939" s="773"/>
      <c r="K939" s="773"/>
      <c r="L939" s="773"/>
      <c r="M939" s="773"/>
      <c r="N939" s="773"/>
      <c r="O939" s="773"/>
      <c r="P939" s="773"/>
      <c r="Q939" s="773"/>
      <c r="R939" s="773"/>
      <c r="S939" s="773"/>
      <c r="T939" s="475"/>
    </row>
    <row r="940" spans="1:20" s="19" customFormat="1" ht="36" customHeight="1" thickBot="1" x14ac:dyDescent="0.35">
      <c r="A940" s="272" t="s">
        <v>3</v>
      </c>
      <c r="B940" s="273" t="s">
        <v>4</v>
      </c>
      <c r="C940" s="233"/>
      <c r="D940" s="233"/>
      <c r="E940" s="233"/>
      <c r="F940" s="233"/>
      <c r="G940" s="233"/>
      <c r="H940" s="233"/>
      <c r="I940" s="234"/>
      <c r="J940" s="233"/>
      <c r="K940" s="235"/>
      <c r="L940" s="235"/>
      <c r="M940" s="233"/>
      <c r="N940" s="235"/>
      <c r="O940" s="233"/>
      <c r="P940" s="236"/>
      <c r="Q940" s="233"/>
      <c r="R940" s="233"/>
      <c r="S940" s="237"/>
      <c r="T940" s="233"/>
    </row>
    <row r="941" spans="1:20" s="19" customFormat="1" ht="44.25" customHeight="1" x14ac:dyDescent="0.3">
      <c r="A941" s="810" t="s">
        <v>5</v>
      </c>
      <c r="B941" s="812" t="s">
        <v>6</v>
      </c>
      <c r="C941" s="814" t="s">
        <v>7</v>
      </c>
      <c r="D941" s="817" t="s">
        <v>959</v>
      </c>
      <c r="E941" s="818"/>
      <c r="F941" s="819"/>
      <c r="G941" s="817" t="s">
        <v>960</v>
      </c>
      <c r="H941" s="818"/>
      <c r="I941" s="819"/>
      <c r="J941" s="817" t="s">
        <v>961</v>
      </c>
      <c r="K941" s="818"/>
      <c r="L941" s="819"/>
      <c r="M941" s="820" t="s">
        <v>8</v>
      </c>
      <c r="N941" s="823" t="s">
        <v>9</v>
      </c>
      <c r="O941" s="823" t="s">
        <v>10</v>
      </c>
      <c r="P941" s="824" t="s">
        <v>11</v>
      </c>
      <c r="Q941" s="824" t="s">
        <v>12</v>
      </c>
      <c r="R941" s="824" t="s">
        <v>13</v>
      </c>
      <c r="S941" s="812" t="s">
        <v>14</v>
      </c>
      <c r="T941" s="825" t="s">
        <v>15</v>
      </c>
    </row>
    <row r="942" spans="1:20" s="19" customFormat="1" ht="30.75" customHeight="1" x14ac:dyDescent="0.3">
      <c r="A942" s="811"/>
      <c r="B942" s="813"/>
      <c r="C942" s="815"/>
      <c r="D942" s="827" t="s">
        <v>16</v>
      </c>
      <c r="E942" s="803" t="s">
        <v>17</v>
      </c>
      <c r="F942" s="828"/>
      <c r="G942" s="827" t="s">
        <v>16</v>
      </c>
      <c r="H942" s="803" t="s">
        <v>17</v>
      </c>
      <c r="I942" s="828"/>
      <c r="J942" s="800" t="s">
        <v>18</v>
      </c>
      <c r="K942" s="803" t="s">
        <v>17</v>
      </c>
      <c r="L942" s="828"/>
      <c r="M942" s="821"/>
      <c r="N942" s="813"/>
      <c r="O942" s="813"/>
      <c r="P942" s="813"/>
      <c r="Q942" s="813"/>
      <c r="R942" s="813"/>
      <c r="S942" s="813"/>
      <c r="T942" s="826"/>
    </row>
    <row r="943" spans="1:20" s="19" customFormat="1" ht="58.5" customHeight="1" x14ac:dyDescent="0.3">
      <c r="A943" s="801"/>
      <c r="B943" s="766"/>
      <c r="C943" s="816"/>
      <c r="D943" s="801"/>
      <c r="E943" s="167" t="s">
        <v>962</v>
      </c>
      <c r="F943" s="185" t="s">
        <v>963</v>
      </c>
      <c r="G943" s="801"/>
      <c r="H943" s="167" t="s">
        <v>962</v>
      </c>
      <c r="I943" s="186" t="s">
        <v>963</v>
      </c>
      <c r="J943" s="801"/>
      <c r="K943" s="167" t="s">
        <v>962</v>
      </c>
      <c r="L943" s="185" t="s">
        <v>963</v>
      </c>
      <c r="M943" s="822"/>
      <c r="N943" s="766"/>
      <c r="O943" s="766"/>
      <c r="P943" s="766"/>
      <c r="Q943" s="766"/>
      <c r="R943" s="766"/>
      <c r="S943" s="766"/>
      <c r="T943" s="808"/>
    </row>
    <row r="944" spans="1:20" s="19" customFormat="1" ht="107.25" customHeight="1" x14ac:dyDescent="0.3">
      <c r="A944" s="179" t="s">
        <v>593</v>
      </c>
      <c r="B944" s="44" t="s">
        <v>594</v>
      </c>
      <c r="C944" s="49" t="s">
        <v>370</v>
      </c>
      <c r="D944" s="180">
        <v>12995</v>
      </c>
      <c r="E944" s="143">
        <v>80</v>
      </c>
      <c r="F944" s="181">
        <f>D944-E944</f>
        <v>12915</v>
      </c>
      <c r="G944" s="180">
        <f>+H944+I944</f>
        <v>298</v>
      </c>
      <c r="H944" s="143">
        <v>80</v>
      </c>
      <c r="I944" s="182">
        <v>218</v>
      </c>
      <c r="J944" s="180">
        <f>K944+L944</f>
        <v>55</v>
      </c>
      <c r="K944" s="143">
        <v>0</v>
      </c>
      <c r="L944" s="181">
        <v>55</v>
      </c>
      <c r="M944" s="377">
        <v>0</v>
      </c>
      <c r="N944" s="183">
        <f>L944/F944</f>
        <v>4.2586140147115757E-3</v>
      </c>
      <c r="O944" s="142" t="s">
        <v>21</v>
      </c>
      <c r="P944" s="144" t="s">
        <v>140</v>
      </c>
      <c r="Q944" s="144" t="s">
        <v>23</v>
      </c>
      <c r="R944" s="138" t="s">
        <v>24</v>
      </c>
      <c r="S944" s="138" t="s">
        <v>25</v>
      </c>
      <c r="T944" s="184" t="s">
        <v>595</v>
      </c>
    </row>
    <row r="945" spans="1:20" s="19" customFormat="1" ht="30" customHeight="1" x14ac:dyDescent="0.3">
      <c r="A945" s="272" t="s">
        <v>27</v>
      </c>
      <c r="B945" s="273" t="s">
        <v>777</v>
      </c>
      <c r="C945" s="233"/>
      <c r="D945" s="233"/>
      <c r="E945" s="233"/>
      <c r="F945" s="233"/>
      <c r="G945" s="233"/>
      <c r="H945" s="233"/>
      <c r="I945" s="234"/>
      <c r="J945" s="233"/>
      <c r="K945" s="235"/>
      <c r="L945" s="235"/>
      <c r="M945" s="233"/>
      <c r="N945" s="235"/>
      <c r="O945" s="233"/>
      <c r="P945" s="236"/>
      <c r="Q945" s="233"/>
      <c r="R945" s="233"/>
      <c r="S945" s="237"/>
      <c r="T945" s="233"/>
    </row>
    <row r="946" spans="1:20" s="19" customFormat="1" ht="54" customHeight="1" x14ac:dyDescent="0.3">
      <c r="A946" s="781" t="s">
        <v>5</v>
      </c>
      <c r="B946" s="783" t="s">
        <v>663</v>
      </c>
      <c r="C946" s="783" t="s">
        <v>664</v>
      </c>
      <c r="D946" s="785" t="s">
        <v>665</v>
      </c>
      <c r="E946" s="786"/>
      <c r="F946" s="786"/>
      <c r="G946" s="787"/>
      <c r="H946" s="788" t="s">
        <v>666</v>
      </c>
      <c r="I946" s="790" t="s">
        <v>667</v>
      </c>
      <c r="J946" s="760"/>
      <c r="K946" s="791"/>
      <c r="L946" s="792" t="s">
        <v>668</v>
      </c>
      <c r="M946" s="793"/>
      <c r="N946" s="794" t="s">
        <v>43</v>
      </c>
      <c r="O946" s="783" t="s">
        <v>669</v>
      </c>
      <c r="P946" s="796" t="s">
        <v>670</v>
      </c>
      <c r="Q946" s="796" t="s">
        <v>42</v>
      </c>
      <c r="R946" s="783" t="s">
        <v>671</v>
      </c>
      <c r="S946" s="783" t="s">
        <v>44</v>
      </c>
      <c r="T946" s="798" t="s">
        <v>15</v>
      </c>
    </row>
    <row r="947" spans="1:20" s="19" customFormat="1" ht="98.25" customHeight="1" x14ac:dyDescent="0.3">
      <c r="A947" s="782"/>
      <c r="B947" s="784"/>
      <c r="C947" s="784"/>
      <c r="D947" s="407" t="s">
        <v>672</v>
      </c>
      <c r="E947" s="407" t="s">
        <v>673</v>
      </c>
      <c r="F947" s="407" t="s">
        <v>759</v>
      </c>
      <c r="G947" s="407" t="s">
        <v>17</v>
      </c>
      <c r="H947" s="789"/>
      <c r="I947" s="125" t="s">
        <v>674</v>
      </c>
      <c r="J947" s="418" t="s">
        <v>675</v>
      </c>
      <c r="K947" s="81" t="s">
        <v>676</v>
      </c>
      <c r="L947" s="82" t="s">
        <v>677</v>
      </c>
      <c r="M947" s="83" t="s">
        <v>678</v>
      </c>
      <c r="N947" s="795"/>
      <c r="O947" s="784"/>
      <c r="P947" s="797"/>
      <c r="Q947" s="797"/>
      <c r="R947" s="784"/>
      <c r="S947" s="784"/>
      <c r="T947" s="799"/>
    </row>
    <row r="948" spans="1:20" s="19" customFormat="1" ht="103.5" customHeight="1" x14ac:dyDescent="0.3">
      <c r="A948" s="226" t="s">
        <v>19</v>
      </c>
      <c r="B948" s="227" t="s">
        <v>679</v>
      </c>
      <c r="C948" s="228" t="s">
        <v>827</v>
      </c>
      <c r="D948" s="418" t="s">
        <v>530</v>
      </c>
      <c r="E948" s="418" t="s">
        <v>680</v>
      </c>
      <c r="F948" s="419">
        <v>55</v>
      </c>
      <c r="G948" s="420" t="s">
        <v>681</v>
      </c>
      <c r="H948" s="420" t="s">
        <v>828</v>
      </c>
      <c r="I948" s="420">
        <v>55</v>
      </c>
      <c r="J948" s="419">
        <v>0</v>
      </c>
      <c r="K948" s="419">
        <f>I948+J948</f>
        <v>55</v>
      </c>
      <c r="L948" s="419">
        <v>0</v>
      </c>
      <c r="M948" s="134"/>
      <c r="N948" s="260">
        <v>1</v>
      </c>
      <c r="O948" s="423">
        <v>1</v>
      </c>
      <c r="P948" s="231">
        <v>856000</v>
      </c>
      <c r="Q948" s="231">
        <f>+ROUND((P948*N948*K948),-3)</f>
        <v>47080000</v>
      </c>
      <c r="R948" s="231">
        <f>-ROUND((38000*J948*0.5%),-3)</f>
        <v>0</v>
      </c>
      <c r="S948" s="408">
        <f>+Q948+R948</f>
        <v>47080000</v>
      </c>
      <c r="T948" s="227" t="s">
        <v>833</v>
      </c>
    </row>
    <row r="949" spans="1:20" s="19" customFormat="1" ht="30" customHeight="1" x14ac:dyDescent="0.3">
      <c r="A949" s="272" t="s">
        <v>28</v>
      </c>
      <c r="B949" s="273" t="s">
        <v>141</v>
      </c>
      <c r="C949" s="233"/>
      <c r="D949" s="233"/>
      <c r="E949" s="233"/>
      <c r="F949" s="233"/>
      <c r="G949" s="233"/>
      <c r="H949" s="233"/>
      <c r="I949" s="234"/>
      <c r="J949" s="233"/>
      <c r="K949" s="235"/>
      <c r="L949" s="235"/>
      <c r="M949" s="233"/>
      <c r="N949" s="235"/>
      <c r="O949" s="233"/>
      <c r="P949" s="236"/>
      <c r="Q949" s="237"/>
      <c r="R949" s="237"/>
      <c r="S949" s="238">
        <f>S954</f>
        <v>364000</v>
      </c>
      <c r="T949" s="233"/>
    </row>
    <row r="950" spans="1:20" s="19" customFormat="1" ht="49.5" customHeight="1" x14ac:dyDescent="0.3">
      <c r="A950" s="800" t="s">
        <v>5</v>
      </c>
      <c r="B950" s="802" t="s">
        <v>30</v>
      </c>
      <c r="C950" s="802" t="s">
        <v>31</v>
      </c>
      <c r="D950" s="802" t="s">
        <v>32</v>
      </c>
      <c r="E950" s="803" t="s">
        <v>33</v>
      </c>
      <c r="F950" s="758"/>
      <c r="G950" s="802" t="s">
        <v>34</v>
      </c>
      <c r="H950" s="802" t="s">
        <v>35</v>
      </c>
      <c r="I950" s="804" t="s">
        <v>36</v>
      </c>
      <c r="J950" s="758"/>
      <c r="K950" s="769" t="s">
        <v>37</v>
      </c>
      <c r="L950" s="769" t="s">
        <v>38</v>
      </c>
      <c r="M950" s="805" t="s">
        <v>39</v>
      </c>
      <c r="N950" s="802" t="s">
        <v>839</v>
      </c>
      <c r="O950" s="802" t="s">
        <v>967</v>
      </c>
      <c r="P950" s="806" t="s">
        <v>41</v>
      </c>
      <c r="Q950" s="806" t="s">
        <v>42</v>
      </c>
      <c r="R950" s="802" t="s">
        <v>43</v>
      </c>
      <c r="S950" s="802" t="s">
        <v>44</v>
      </c>
      <c r="T950" s="807" t="s">
        <v>15</v>
      </c>
    </row>
    <row r="951" spans="1:20" s="19" customFormat="1" ht="72" customHeight="1" x14ac:dyDescent="0.3">
      <c r="A951" s="801"/>
      <c r="B951" s="766"/>
      <c r="C951" s="766"/>
      <c r="D951" s="766"/>
      <c r="E951" s="167" t="s">
        <v>45</v>
      </c>
      <c r="F951" s="167" t="s">
        <v>46</v>
      </c>
      <c r="G951" s="766"/>
      <c r="H951" s="766"/>
      <c r="I951" s="140" t="s">
        <v>47</v>
      </c>
      <c r="J951" s="143" t="s">
        <v>48</v>
      </c>
      <c r="K951" s="766"/>
      <c r="L951" s="766"/>
      <c r="M951" s="766"/>
      <c r="N951" s="766"/>
      <c r="O951" s="766"/>
      <c r="P951" s="766"/>
      <c r="Q951" s="766"/>
      <c r="R951" s="766"/>
      <c r="S951" s="766"/>
      <c r="T951" s="808"/>
    </row>
    <row r="952" spans="1:20" s="19" customFormat="1" ht="36.75" customHeight="1" x14ac:dyDescent="0.3">
      <c r="A952" s="136" t="s">
        <v>19</v>
      </c>
      <c r="B952" s="156" t="s">
        <v>596</v>
      </c>
      <c r="C952" s="157" t="s">
        <v>597</v>
      </c>
      <c r="D952" s="52"/>
      <c r="E952" s="138" t="s">
        <v>27</v>
      </c>
      <c r="F952" s="139" t="s">
        <v>52</v>
      </c>
      <c r="G952" s="138" t="s">
        <v>146</v>
      </c>
      <c r="H952" s="138" t="s">
        <v>21</v>
      </c>
      <c r="I952" s="140" t="s">
        <v>598</v>
      </c>
      <c r="J952" s="141">
        <f>2026-I952</f>
        <v>17</v>
      </c>
      <c r="K952" s="141">
        <v>2</v>
      </c>
      <c r="L952" s="141">
        <f>K952</f>
        <v>2</v>
      </c>
      <c r="M952" s="52" t="s">
        <v>54</v>
      </c>
      <c r="N952" s="143">
        <f>10000/1750</f>
        <v>5.7142857142857144</v>
      </c>
      <c r="O952" s="143">
        <f>N952*L952</f>
        <v>11.428571428571429</v>
      </c>
      <c r="P952" s="144">
        <v>133000</v>
      </c>
      <c r="Q952" s="144">
        <f>+ROUND((L952*P952),-3)</f>
        <v>266000</v>
      </c>
      <c r="R952" s="145">
        <v>1</v>
      </c>
      <c r="S952" s="144">
        <f>+Q952*R952</f>
        <v>266000</v>
      </c>
      <c r="T952" s="52" t="s">
        <v>148</v>
      </c>
    </row>
    <row r="953" spans="1:20" s="19" customFormat="1" ht="36.75" customHeight="1" x14ac:dyDescent="0.3">
      <c r="A953" s="136" t="s">
        <v>98</v>
      </c>
      <c r="B953" s="156" t="s">
        <v>149</v>
      </c>
      <c r="C953" s="156" t="s">
        <v>971</v>
      </c>
      <c r="D953" s="52"/>
      <c r="E953" s="138" t="s">
        <v>27</v>
      </c>
      <c r="F953" s="139" t="s">
        <v>52</v>
      </c>
      <c r="G953" s="138" t="s">
        <v>146</v>
      </c>
      <c r="H953" s="138" t="s">
        <v>21</v>
      </c>
      <c r="I953" s="140" t="s">
        <v>598</v>
      </c>
      <c r="J953" s="141">
        <f>2026-I953</f>
        <v>17</v>
      </c>
      <c r="K953" s="141">
        <v>1</v>
      </c>
      <c r="L953" s="141">
        <f>K953</f>
        <v>1</v>
      </c>
      <c r="M953" s="52" t="s">
        <v>54</v>
      </c>
      <c r="N953" s="143">
        <f>10000/1750</f>
        <v>5.7142857142857144</v>
      </c>
      <c r="O953" s="143">
        <f>N953*L953</f>
        <v>5.7142857142857144</v>
      </c>
      <c r="P953" s="144">
        <v>98000</v>
      </c>
      <c r="Q953" s="144">
        <f>+ROUND((L953*P953),-3)</f>
        <v>98000</v>
      </c>
      <c r="R953" s="145">
        <v>1</v>
      </c>
      <c r="S953" s="144">
        <f>+Q953*R953</f>
        <v>98000</v>
      </c>
      <c r="T953" s="52" t="s">
        <v>148</v>
      </c>
    </row>
    <row r="954" spans="1:20" s="19" customFormat="1" ht="36.75" customHeight="1" x14ac:dyDescent="0.3">
      <c r="A954" s="239"/>
      <c r="B954" s="166" t="s">
        <v>55</v>
      </c>
      <c r="C954" s="166"/>
      <c r="D954" s="240"/>
      <c r="E954" s="159"/>
      <c r="F954" s="167"/>
      <c r="G954" s="167"/>
      <c r="H954" s="167"/>
      <c r="I954" s="168"/>
      <c r="J954" s="167"/>
      <c r="K954" s="241"/>
      <c r="L954" s="241"/>
      <c r="M954" s="169"/>
      <c r="N954" s="170"/>
      <c r="O954" s="167">
        <f>SUM(O952:O953)</f>
        <v>17.142857142857142</v>
      </c>
      <c r="P954" s="45"/>
      <c r="Q954" s="45">
        <v>0</v>
      </c>
      <c r="R954" s="45"/>
      <c r="S954" s="45">
        <f>S952+S953</f>
        <v>364000</v>
      </c>
      <c r="T954" s="185"/>
    </row>
    <row r="955" spans="1:20" s="19" customFormat="1" ht="52.5" customHeight="1" x14ac:dyDescent="0.3">
      <c r="A955" s="272" t="s">
        <v>56</v>
      </c>
      <c r="B955" s="273" t="s">
        <v>201</v>
      </c>
      <c r="C955" s="233"/>
      <c r="D955" s="233"/>
      <c r="E955" s="233"/>
      <c r="F955" s="233"/>
      <c r="G955" s="233"/>
      <c r="H955" s="233"/>
      <c r="I955" s="234"/>
      <c r="J955" s="233"/>
      <c r="K955" s="235"/>
      <c r="L955" s="235"/>
      <c r="M955" s="233"/>
      <c r="N955" s="235"/>
      <c r="O955" s="233"/>
      <c r="P955" s="236"/>
      <c r="Q955" s="233"/>
      <c r="R955" s="233"/>
      <c r="S955" s="237">
        <f>S969</f>
        <v>21049000</v>
      </c>
      <c r="T955" s="233"/>
    </row>
    <row r="956" spans="1:20" s="19" customFormat="1" ht="18.75" customHeight="1" x14ac:dyDescent="0.3">
      <c r="A956" s="765"/>
      <c r="B956" s="767" t="s">
        <v>51</v>
      </c>
      <c r="C956" s="767" t="s">
        <v>58</v>
      </c>
      <c r="D956" s="768" t="s">
        <v>59</v>
      </c>
      <c r="E956" s="769" t="s">
        <v>60</v>
      </c>
      <c r="F956" s="769" t="s">
        <v>61</v>
      </c>
      <c r="G956" s="769" t="s">
        <v>62</v>
      </c>
      <c r="H956" s="769" t="s">
        <v>63</v>
      </c>
      <c r="I956" s="770" t="s">
        <v>64</v>
      </c>
      <c r="J956" s="757"/>
      <c r="K956" s="757"/>
      <c r="L956" s="757"/>
      <c r="M956" s="758"/>
      <c r="N956" s="771" t="s">
        <v>3</v>
      </c>
      <c r="O956" s="771" t="s">
        <v>65</v>
      </c>
      <c r="P956" s="771" t="s">
        <v>66</v>
      </c>
      <c r="Q956" s="771" t="s">
        <v>67</v>
      </c>
      <c r="R956" s="767" t="s">
        <v>68</v>
      </c>
      <c r="S956" s="767" t="s">
        <v>69</v>
      </c>
      <c r="T956" s="767" t="s">
        <v>70</v>
      </c>
    </row>
    <row r="957" spans="1:20" s="19" customFormat="1" ht="18.75" customHeight="1" x14ac:dyDescent="0.3">
      <c r="A957" s="766"/>
      <c r="B957" s="766"/>
      <c r="C957" s="766"/>
      <c r="D957" s="766"/>
      <c r="E957" s="766"/>
      <c r="F957" s="766"/>
      <c r="G957" s="766"/>
      <c r="H957" s="766"/>
      <c r="I957" s="168" t="s">
        <v>71</v>
      </c>
      <c r="J957" s="159" t="s">
        <v>72</v>
      </c>
      <c r="K957" s="159" t="s">
        <v>73</v>
      </c>
      <c r="L957" s="45" t="s">
        <v>74</v>
      </c>
      <c r="M957" s="204" t="s">
        <v>75</v>
      </c>
      <c r="N957" s="766"/>
      <c r="O957" s="766"/>
      <c r="P957" s="766"/>
      <c r="Q957" s="766"/>
      <c r="R957" s="766"/>
      <c r="S957" s="766"/>
      <c r="T957" s="766"/>
    </row>
    <row r="958" spans="1:20" s="19" customFormat="1" ht="93" customHeight="1" x14ac:dyDescent="0.3">
      <c r="A958" s="196" t="s">
        <v>5</v>
      </c>
      <c r="B958" s="49" t="s">
        <v>76</v>
      </c>
      <c r="C958" s="49" t="s">
        <v>77</v>
      </c>
      <c r="D958" s="49" t="s">
        <v>78</v>
      </c>
      <c r="E958" s="159" t="s">
        <v>79</v>
      </c>
      <c r="F958" s="159" t="s">
        <v>80</v>
      </c>
      <c r="G958" s="159" t="s">
        <v>81</v>
      </c>
      <c r="H958" s="45" t="s">
        <v>82</v>
      </c>
      <c r="I958" s="168" t="s">
        <v>83</v>
      </c>
      <c r="J958" s="242" t="s">
        <v>84</v>
      </c>
      <c r="K958" s="242" t="s">
        <v>85</v>
      </c>
      <c r="L958" s="49" t="s">
        <v>86</v>
      </c>
      <c r="M958" s="204" t="s">
        <v>87</v>
      </c>
      <c r="N958" s="159" t="s">
        <v>88</v>
      </c>
      <c r="O958" s="159" t="s">
        <v>89</v>
      </c>
      <c r="P958" s="159" t="s">
        <v>90</v>
      </c>
      <c r="Q958" s="159" t="s">
        <v>91</v>
      </c>
      <c r="R958" s="159" t="s">
        <v>92</v>
      </c>
      <c r="S958" s="159" t="s">
        <v>964</v>
      </c>
      <c r="T958" s="159" t="s">
        <v>15</v>
      </c>
    </row>
    <row r="959" spans="1:20" ht="51.75" customHeight="1" x14ac:dyDescent="0.3">
      <c r="A959" s="628">
        <v>1</v>
      </c>
      <c r="B959" s="498" t="s">
        <v>214</v>
      </c>
      <c r="C959" s="498" t="s">
        <v>599</v>
      </c>
      <c r="D959" s="499" t="s">
        <v>1021</v>
      </c>
      <c r="E959" s="502" t="s">
        <v>598</v>
      </c>
      <c r="F959" s="458"/>
      <c r="G959" s="551">
        <f t="shared" ref="G959:G968" si="96">2026-E959</f>
        <v>17</v>
      </c>
      <c r="H959" s="552" t="s">
        <v>95</v>
      </c>
      <c r="I959" s="501">
        <f>3*4.4</f>
        <v>13.200000000000001</v>
      </c>
      <c r="J959" s="461" t="s">
        <v>96</v>
      </c>
      <c r="K959" s="629">
        <f t="shared" ref="K959:K968" si="97">+I959-J959</f>
        <v>13.200000000000001</v>
      </c>
      <c r="L959" s="462">
        <v>0.99199999999999999</v>
      </c>
      <c r="M959" s="463">
        <v>189000</v>
      </c>
      <c r="N959" s="464">
        <v>0.6</v>
      </c>
      <c r="O959" s="463">
        <f t="shared" ref="O959:O968" si="98">+M959</f>
        <v>189000</v>
      </c>
      <c r="P959" s="459">
        <f t="shared" ref="P959:P968" si="99">+ROUND((K959*L959*O959*N959),-3)</f>
        <v>1485000</v>
      </c>
      <c r="Q959" s="463" t="s">
        <v>97</v>
      </c>
      <c r="R959" s="463" t="s">
        <v>97</v>
      </c>
      <c r="S959" s="459">
        <f t="shared" ref="S959:S968" si="100">P959</f>
        <v>1485000</v>
      </c>
      <c r="T959" s="460" t="s">
        <v>205</v>
      </c>
    </row>
    <row r="960" spans="1:20" ht="51.75" customHeight="1" x14ac:dyDescent="0.3">
      <c r="A960" s="628">
        <v>2</v>
      </c>
      <c r="B960" s="498" t="s">
        <v>99</v>
      </c>
      <c r="C960" s="498" t="s">
        <v>600</v>
      </c>
      <c r="D960" s="499" t="s">
        <v>1037</v>
      </c>
      <c r="E960" s="502" t="s">
        <v>598</v>
      </c>
      <c r="F960" s="458"/>
      <c r="G960" s="551">
        <f t="shared" si="96"/>
        <v>17</v>
      </c>
      <c r="H960" s="552" t="s">
        <v>95</v>
      </c>
      <c r="I960" s="501">
        <f>0.4*0.4*2*2</f>
        <v>0.64000000000000012</v>
      </c>
      <c r="J960" s="461" t="s">
        <v>96</v>
      </c>
      <c r="K960" s="629">
        <f t="shared" si="97"/>
        <v>0.64000000000000012</v>
      </c>
      <c r="L960" s="462">
        <v>0.99199999999999999</v>
      </c>
      <c r="M960" s="463">
        <v>2556000</v>
      </c>
      <c r="N960" s="464">
        <v>0.6</v>
      </c>
      <c r="O960" s="463">
        <f t="shared" si="98"/>
        <v>2556000</v>
      </c>
      <c r="P960" s="459">
        <f t="shared" si="99"/>
        <v>974000</v>
      </c>
      <c r="Q960" s="463" t="s">
        <v>97</v>
      </c>
      <c r="R960" s="463" t="s">
        <v>97</v>
      </c>
      <c r="S960" s="459">
        <f t="shared" si="100"/>
        <v>974000</v>
      </c>
      <c r="T960" s="460" t="s">
        <v>169</v>
      </c>
    </row>
    <row r="961" spans="1:20" ht="51.75" customHeight="1" x14ac:dyDescent="0.3">
      <c r="A961" s="628">
        <v>3</v>
      </c>
      <c r="B961" s="498" t="s">
        <v>105</v>
      </c>
      <c r="C961" s="498" t="s">
        <v>601</v>
      </c>
      <c r="D961" s="499" t="s">
        <v>1021</v>
      </c>
      <c r="E961" s="502" t="s">
        <v>598</v>
      </c>
      <c r="F961" s="458"/>
      <c r="G961" s="551">
        <f t="shared" si="96"/>
        <v>17</v>
      </c>
      <c r="H961" s="552" t="s">
        <v>95</v>
      </c>
      <c r="I961" s="501">
        <f>3.2*1.8</f>
        <v>5.7600000000000007</v>
      </c>
      <c r="J961" s="461" t="s">
        <v>96</v>
      </c>
      <c r="K961" s="629">
        <f t="shared" si="97"/>
        <v>5.7600000000000007</v>
      </c>
      <c r="L961" s="462">
        <v>0.99199999999999999</v>
      </c>
      <c r="M961" s="463">
        <v>835000</v>
      </c>
      <c r="N961" s="464">
        <v>0.6</v>
      </c>
      <c r="O961" s="463">
        <f t="shared" si="98"/>
        <v>835000</v>
      </c>
      <c r="P961" s="459">
        <f t="shared" si="99"/>
        <v>2863000</v>
      </c>
      <c r="Q961" s="463" t="s">
        <v>97</v>
      </c>
      <c r="R961" s="463" t="s">
        <v>97</v>
      </c>
      <c r="S961" s="459">
        <f t="shared" si="100"/>
        <v>2863000</v>
      </c>
      <c r="T961" s="460" t="s">
        <v>174</v>
      </c>
    </row>
    <row r="962" spans="1:20" ht="51.75" customHeight="1" x14ac:dyDescent="0.3">
      <c r="A962" s="628">
        <v>4</v>
      </c>
      <c r="B962" s="498" t="s">
        <v>120</v>
      </c>
      <c r="C962" s="498" t="s">
        <v>602</v>
      </c>
      <c r="D962" s="499" t="s">
        <v>1021</v>
      </c>
      <c r="E962" s="502" t="s">
        <v>598</v>
      </c>
      <c r="F962" s="458"/>
      <c r="G962" s="551">
        <f t="shared" si="96"/>
        <v>17</v>
      </c>
      <c r="H962" s="552" t="s">
        <v>95</v>
      </c>
      <c r="I962" s="501">
        <f>5.2*9.2</f>
        <v>47.839999999999996</v>
      </c>
      <c r="J962" s="461" t="s">
        <v>96</v>
      </c>
      <c r="K962" s="460">
        <f t="shared" si="97"/>
        <v>47.839999999999996</v>
      </c>
      <c r="L962" s="462">
        <v>0.99199999999999999</v>
      </c>
      <c r="M962" s="463">
        <v>189000</v>
      </c>
      <c r="N962" s="464">
        <v>0.6</v>
      </c>
      <c r="O962" s="463">
        <f t="shared" si="98"/>
        <v>189000</v>
      </c>
      <c r="P962" s="459">
        <f t="shared" si="99"/>
        <v>5382000</v>
      </c>
      <c r="Q962" s="463" t="s">
        <v>97</v>
      </c>
      <c r="R962" s="463" t="s">
        <v>97</v>
      </c>
      <c r="S962" s="459">
        <f t="shared" si="100"/>
        <v>5382000</v>
      </c>
      <c r="T962" s="460" t="s">
        <v>205</v>
      </c>
    </row>
    <row r="963" spans="1:20" ht="51.75" customHeight="1" x14ac:dyDescent="0.3">
      <c r="A963" s="628">
        <v>5</v>
      </c>
      <c r="B963" s="498" t="s">
        <v>113</v>
      </c>
      <c r="C963" s="498" t="s">
        <v>603</v>
      </c>
      <c r="D963" s="499" t="s">
        <v>1021</v>
      </c>
      <c r="E963" s="502" t="s">
        <v>598</v>
      </c>
      <c r="F963" s="458"/>
      <c r="G963" s="551">
        <f t="shared" si="96"/>
        <v>17</v>
      </c>
      <c r="H963" s="552" t="s">
        <v>95</v>
      </c>
      <c r="I963" s="501">
        <f>5.9*5.1</f>
        <v>30.09</v>
      </c>
      <c r="J963" s="461" t="s">
        <v>96</v>
      </c>
      <c r="K963" s="629">
        <f t="shared" si="97"/>
        <v>30.09</v>
      </c>
      <c r="L963" s="462">
        <v>0.99199999999999999</v>
      </c>
      <c r="M963" s="463">
        <v>418000</v>
      </c>
      <c r="N963" s="464">
        <v>0.6</v>
      </c>
      <c r="O963" s="463">
        <f t="shared" si="98"/>
        <v>418000</v>
      </c>
      <c r="P963" s="459">
        <f t="shared" si="99"/>
        <v>7486000</v>
      </c>
      <c r="Q963" s="463" t="s">
        <v>97</v>
      </c>
      <c r="R963" s="463" t="s">
        <v>97</v>
      </c>
      <c r="S963" s="459">
        <f t="shared" si="100"/>
        <v>7486000</v>
      </c>
      <c r="T963" s="460" t="s">
        <v>211</v>
      </c>
    </row>
    <row r="964" spans="1:20" ht="31.5" x14ac:dyDescent="0.3">
      <c r="A964" s="628">
        <v>6</v>
      </c>
      <c r="B964" s="498" t="s">
        <v>93</v>
      </c>
      <c r="C964" s="498" t="s">
        <v>604</v>
      </c>
      <c r="D964" s="499" t="s">
        <v>1021</v>
      </c>
      <c r="E964" s="502" t="s">
        <v>598</v>
      </c>
      <c r="F964" s="458"/>
      <c r="G964" s="551">
        <f t="shared" si="96"/>
        <v>17</v>
      </c>
      <c r="H964" s="552" t="s">
        <v>95</v>
      </c>
      <c r="I964" s="501">
        <f>6.8*1.5</f>
        <v>10.199999999999999</v>
      </c>
      <c r="J964" s="461" t="s">
        <v>96</v>
      </c>
      <c r="K964" s="629">
        <f t="shared" si="97"/>
        <v>10.199999999999999</v>
      </c>
      <c r="L964" s="462">
        <v>0.99199999999999999</v>
      </c>
      <c r="M964" s="463">
        <v>134000</v>
      </c>
      <c r="N964" s="464">
        <v>0.6</v>
      </c>
      <c r="O964" s="463">
        <f t="shared" si="98"/>
        <v>134000</v>
      </c>
      <c r="P964" s="459">
        <f t="shared" si="99"/>
        <v>814000</v>
      </c>
      <c r="Q964" s="463" t="s">
        <v>97</v>
      </c>
      <c r="R964" s="463" t="s">
        <v>97</v>
      </c>
      <c r="S964" s="459">
        <f t="shared" si="100"/>
        <v>814000</v>
      </c>
      <c r="T964" s="460" t="s">
        <v>1026</v>
      </c>
    </row>
    <row r="965" spans="1:20" ht="51.75" customHeight="1" x14ac:dyDescent="0.3">
      <c r="A965" s="628" t="s">
        <v>101</v>
      </c>
      <c r="B965" s="498" t="s">
        <v>102</v>
      </c>
      <c r="C965" s="498" t="s">
        <v>605</v>
      </c>
      <c r="D965" s="499" t="s">
        <v>217</v>
      </c>
      <c r="E965" s="502" t="s">
        <v>598</v>
      </c>
      <c r="F965" s="458"/>
      <c r="G965" s="551">
        <f t="shared" si="96"/>
        <v>17</v>
      </c>
      <c r="H965" s="552" t="s">
        <v>95</v>
      </c>
      <c r="I965" s="501">
        <f>0.3*0.3*6.8</f>
        <v>0.61199999999999999</v>
      </c>
      <c r="J965" s="461" t="s">
        <v>96</v>
      </c>
      <c r="K965" s="629">
        <f t="shared" si="97"/>
        <v>0.61199999999999999</v>
      </c>
      <c r="L965" s="462">
        <v>0.99199999999999999</v>
      </c>
      <c r="M965" s="463">
        <v>1961000</v>
      </c>
      <c r="N965" s="464">
        <v>0.6</v>
      </c>
      <c r="O965" s="463">
        <f t="shared" si="98"/>
        <v>1961000</v>
      </c>
      <c r="P965" s="459">
        <f t="shared" si="99"/>
        <v>714000</v>
      </c>
      <c r="Q965" s="463" t="s">
        <v>97</v>
      </c>
      <c r="R965" s="463" t="s">
        <v>97</v>
      </c>
      <c r="S965" s="459">
        <f t="shared" si="100"/>
        <v>714000</v>
      </c>
      <c r="T965" s="460" t="s">
        <v>415</v>
      </c>
    </row>
    <row r="966" spans="1:20" ht="51.75" customHeight="1" x14ac:dyDescent="0.3">
      <c r="A966" s="628">
        <v>7</v>
      </c>
      <c r="B966" s="498" t="s">
        <v>93</v>
      </c>
      <c r="C966" s="498" t="s">
        <v>606</v>
      </c>
      <c r="D966" s="499" t="s">
        <v>1021</v>
      </c>
      <c r="E966" s="502" t="s">
        <v>598</v>
      </c>
      <c r="F966" s="458"/>
      <c r="G966" s="551">
        <f t="shared" si="96"/>
        <v>17</v>
      </c>
      <c r="H966" s="552" t="s">
        <v>95</v>
      </c>
      <c r="I966" s="501">
        <f>6.6*1.5</f>
        <v>9.8999999999999986</v>
      </c>
      <c r="J966" s="461" t="s">
        <v>96</v>
      </c>
      <c r="K966" s="629">
        <f t="shared" si="97"/>
        <v>9.8999999999999986</v>
      </c>
      <c r="L966" s="462">
        <v>0.99199999999999999</v>
      </c>
      <c r="M966" s="463">
        <v>134000</v>
      </c>
      <c r="N966" s="464">
        <v>0.6</v>
      </c>
      <c r="O966" s="463">
        <f t="shared" si="98"/>
        <v>134000</v>
      </c>
      <c r="P966" s="459">
        <f t="shared" si="99"/>
        <v>790000</v>
      </c>
      <c r="Q966" s="463" t="s">
        <v>97</v>
      </c>
      <c r="R966" s="463" t="s">
        <v>97</v>
      </c>
      <c r="S966" s="459">
        <f t="shared" si="100"/>
        <v>790000</v>
      </c>
      <c r="T966" s="460" t="s">
        <v>1027</v>
      </c>
    </row>
    <row r="967" spans="1:20" ht="51.75" customHeight="1" x14ac:dyDescent="0.3">
      <c r="A967" s="628" t="s">
        <v>101</v>
      </c>
      <c r="B967" s="498" t="s">
        <v>102</v>
      </c>
      <c r="C967" s="498" t="s">
        <v>607</v>
      </c>
      <c r="D967" s="499" t="s">
        <v>217</v>
      </c>
      <c r="E967" s="502" t="s">
        <v>598</v>
      </c>
      <c r="F967" s="458"/>
      <c r="G967" s="551">
        <f t="shared" si="96"/>
        <v>17</v>
      </c>
      <c r="H967" s="552" t="s">
        <v>95</v>
      </c>
      <c r="I967" s="501">
        <f>0.3*0.15*6.8</f>
        <v>0.30599999999999999</v>
      </c>
      <c r="J967" s="461" t="s">
        <v>96</v>
      </c>
      <c r="K967" s="629">
        <f t="shared" si="97"/>
        <v>0.30599999999999999</v>
      </c>
      <c r="L967" s="462">
        <v>0.99199999999999999</v>
      </c>
      <c r="M967" s="463">
        <v>2446000</v>
      </c>
      <c r="N967" s="464">
        <v>0.6</v>
      </c>
      <c r="O967" s="463">
        <f t="shared" si="98"/>
        <v>2446000</v>
      </c>
      <c r="P967" s="459">
        <f t="shared" si="99"/>
        <v>445000</v>
      </c>
      <c r="Q967" s="463" t="s">
        <v>97</v>
      </c>
      <c r="R967" s="463" t="s">
        <v>97</v>
      </c>
      <c r="S967" s="459">
        <f t="shared" si="100"/>
        <v>445000</v>
      </c>
      <c r="T967" s="460" t="s">
        <v>321</v>
      </c>
    </row>
    <row r="968" spans="1:20" ht="51.75" customHeight="1" x14ac:dyDescent="0.3">
      <c r="A968" s="628">
        <v>8</v>
      </c>
      <c r="B968" s="498" t="s">
        <v>608</v>
      </c>
      <c r="C968" s="498" t="s">
        <v>609</v>
      </c>
      <c r="D968" s="499" t="s">
        <v>1037</v>
      </c>
      <c r="E968" s="502" t="s">
        <v>598</v>
      </c>
      <c r="F968" s="458"/>
      <c r="G968" s="551">
        <f t="shared" si="96"/>
        <v>17</v>
      </c>
      <c r="H968" s="552" t="s">
        <v>95</v>
      </c>
      <c r="I968" s="501">
        <f>0.7*0.3*0.3</f>
        <v>6.3E-2</v>
      </c>
      <c r="J968" s="461" t="s">
        <v>96</v>
      </c>
      <c r="K968" s="629">
        <f t="shared" si="97"/>
        <v>6.3E-2</v>
      </c>
      <c r="L968" s="462">
        <v>0.99199999999999999</v>
      </c>
      <c r="M968" s="463">
        <v>2556000</v>
      </c>
      <c r="N968" s="464">
        <v>0.6</v>
      </c>
      <c r="O968" s="463">
        <f t="shared" si="98"/>
        <v>2556000</v>
      </c>
      <c r="P968" s="459">
        <f t="shared" si="99"/>
        <v>96000</v>
      </c>
      <c r="Q968" s="463" t="s">
        <v>97</v>
      </c>
      <c r="R968" s="463" t="s">
        <v>97</v>
      </c>
      <c r="S968" s="459">
        <f t="shared" si="100"/>
        <v>96000</v>
      </c>
      <c r="T968" s="460" t="s">
        <v>169</v>
      </c>
    </row>
    <row r="969" spans="1:20" s="19" customFormat="1" ht="33" customHeight="1" x14ac:dyDescent="0.3">
      <c r="A969" s="165"/>
      <c r="B969" s="166" t="s">
        <v>55</v>
      </c>
      <c r="C969" s="166"/>
      <c r="D969" s="157"/>
      <c r="E969" s="158"/>
      <c r="F969" s="167"/>
      <c r="G969" s="167"/>
      <c r="H969" s="167"/>
      <c r="I969" s="168"/>
      <c r="J969" s="168"/>
      <c r="K969" s="168"/>
      <c r="L969" s="45"/>
      <c r="M969" s="169"/>
      <c r="N969" s="170"/>
      <c r="O969" s="167"/>
      <c r="P969" s="45"/>
      <c r="Q969" s="45"/>
      <c r="R969" s="45"/>
      <c r="S969" s="45">
        <f>SUM(S959:S968)</f>
        <v>21049000</v>
      </c>
      <c r="T969" s="167"/>
    </row>
    <row r="970" spans="1:20" s="19" customFormat="1" ht="19.5" x14ac:dyDescent="0.3">
      <c r="A970" s="171" t="s">
        <v>131</v>
      </c>
      <c r="B970" s="172" t="s">
        <v>132</v>
      </c>
      <c r="C970" s="173"/>
      <c r="D970" s="466"/>
      <c r="E970" s="466"/>
      <c r="F970" s="466"/>
      <c r="G970" s="466"/>
      <c r="H970" s="466"/>
      <c r="I970" s="467"/>
      <c r="J970" s="466"/>
      <c r="K970" s="468"/>
      <c r="L970" s="468"/>
      <c r="M970" s="466"/>
      <c r="N970" s="468"/>
      <c r="O970" s="466"/>
      <c r="P970" s="469"/>
      <c r="Q970" s="466"/>
      <c r="R970" s="466"/>
      <c r="S970" s="466"/>
      <c r="T970" s="466"/>
    </row>
    <row r="971" spans="1:20" s="19" customFormat="1" ht="19.5" x14ac:dyDescent="0.3">
      <c r="A971" s="171" t="s">
        <v>133</v>
      </c>
      <c r="B971" s="172" t="s">
        <v>134</v>
      </c>
      <c r="C971" s="174"/>
      <c r="D971" s="174"/>
      <c r="E971" s="174"/>
      <c r="F971" s="174"/>
      <c r="G971" s="174"/>
      <c r="H971" s="174"/>
      <c r="I971" s="175"/>
      <c r="J971" s="174"/>
      <c r="K971" s="176"/>
      <c r="L971" s="176"/>
      <c r="M971" s="174"/>
      <c r="N971" s="176"/>
      <c r="O971" s="174"/>
      <c r="P971" s="177"/>
      <c r="Q971" s="174"/>
      <c r="R971" s="174"/>
      <c r="S971" s="174"/>
      <c r="T971" s="174"/>
    </row>
    <row r="972" spans="1:20" s="19" customFormat="1" ht="40.5" customHeight="1" x14ac:dyDescent="0.3">
      <c r="A972" s="178" t="s">
        <v>135</v>
      </c>
      <c r="B972" s="756" t="s">
        <v>611</v>
      </c>
      <c r="C972" s="757"/>
      <c r="D972" s="757"/>
      <c r="E972" s="757"/>
      <c r="F972" s="757"/>
      <c r="G972" s="757"/>
      <c r="H972" s="757"/>
      <c r="I972" s="757"/>
      <c r="J972" s="757"/>
      <c r="K972" s="757"/>
      <c r="L972" s="757"/>
      <c r="M972" s="757"/>
      <c r="N972" s="757"/>
      <c r="O972" s="757"/>
      <c r="P972" s="757"/>
      <c r="Q972" s="757"/>
      <c r="R972" s="758"/>
      <c r="S972" s="29">
        <f>+S969+S954</f>
        <v>21413000</v>
      </c>
      <c r="T972" s="174" t="s">
        <v>137</v>
      </c>
    </row>
    <row r="973" spans="1:20" ht="28.5" customHeight="1" x14ac:dyDescent="0.3">
      <c r="A973" s="474"/>
      <c r="B973" s="829" t="s">
        <v>612</v>
      </c>
      <c r="C973" s="773"/>
      <c r="D973" s="773"/>
      <c r="E973" s="773"/>
      <c r="F973" s="773"/>
      <c r="G973" s="773"/>
      <c r="H973" s="773"/>
      <c r="I973" s="773"/>
      <c r="J973" s="773"/>
      <c r="K973" s="773"/>
      <c r="L973" s="773"/>
      <c r="M973" s="773"/>
      <c r="N973" s="773"/>
      <c r="O973" s="773"/>
      <c r="P973" s="773"/>
      <c r="Q973" s="773"/>
      <c r="R973" s="773"/>
      <c r="S973" s="773"/>
      <c r="T973" s="474"/>
    </row>
    <row r="974" spans="1:20" ht="18.75" customHeight="1" x14ac:dyDescent="0.3">
      <c r="A974" s="474"/>
      <c r="B974" s="772" t="s">
        <v>1</v>
      </c>
      <c r="C974" s="773"/>
      <c r="D974" s="773"/>
      <c r="E974" s="773"/>
      <c r="F974" s="773"/>
      <c r="G974" s="773"/>
      <c r="H974" s="773"/>
      <c r="I974" s="773"/>
      <c r="J974" s="773"/>
      <c r="K974" s="773"/>
      <c r="L974" s="773"/>
      <c r="M974" s="773"/>
      <c r="N974" s="773"/>
      <c r="O974" s="773"/>
      <c r="P974" s="773"/>
      <c r="Q974" s="773"/>
      <c r="R974" s="773"/>
      <c r="S974" s="773"/>
      <c r="T974" s="474"/>
    </row>
    <row r="975" spans="1:20" ht="18.75" customHeight="1" x14ac:dyDescent="0.3">
      <c r="A975" s="474"/>
      <c r="B975" s="772" t="s">
        <v>2</v>
      </c>
      <c r="C975" s="773"/>
      <c r="D975" s="773"/>
      <c r="E975" s="773"/>
      <c r="F975" s="773"/>
      <c r="G975" s="773"/>
      <c r="H975" s="773"/>
      <c r="I975" s="773"/>
      <c r="J975" s="773"/>
      <c r="K975" s="773"/>
      <c r="L975" s="773"/>
      <c r="M975" s="773"/>
      <c r="N975" s="773"/>
      <c r="O975" s="773"/>
      <c r="P975" s="773"/>
      <c r="Q975" s="773"/>
      <c r="R975" s="773"/>
      <c r="S975" s="773"/>
      <c r="T975" s="474"/>
    </row>
    <row r="976" spans="1:20" ht="18.75" customHeight="1" x14ac:dyDescent="0.3">
      <c r="A976" s="475"/>
      <c r="B976" s="809" t="str">
        <f>B904</f>
        <v>(Kèm theo Quyết định số     /QĐ-UBND ngày     tháng     năm 2026 của Ủy ban nhân dân xã Thuận An)</v>
      </c>
      <c r="C976" s="773"/>
      <c r="D976" s="773"/>
      <c r="E976" s="773"/>
      <c r="F976" s="773"/>
      <c r="G976" s="773"/>
      <c r="H976" s="773"/>
      <c r="I976" s="773"/>
      <c r="J976" s="773"/>
      <c r="K976" s="773"/>
      <c r="L976" s="773"/>
      <c r="M976" s="773"/>
      <c r="N976" s="773"/>
      <c r="O976" s="773"/>
      <c r="P976" s="773"/>
      <c r="Q976" s="773"/>
      <c r="R976" s="773"/>
      <c r="S976" s="773"/>
      <c r="T976" s="475"/>
    </row>
    <row r="977" spans="1:20" s="19" customFormat="1" ht="36" customHeight="1" thickBot="1" x14ac:dyDescent="0.35">
      <c r="A977" s="272" t="s">
        <v>3</v>
      </c>
      <c r="B977" s="273" t="s">
        <v>4</v>
      </c>
      <c r="C977" s="233"/>
      <c r="D977" s="233"/>
      <c r="E977" s="233"/>
      <c r="F977" s="233"/>
      <c r="G977" s="233"/>
      <c r="H977" s="233"/>
      <c r="I977" s="234"/>
      <c r="J977" s="233"/>
      <c r="K977" s="235"/>
      <c r="L977" s="235"/>
      <c r="M977" s="233"/>
      <c r="N977" s="235"/>
      <c r="O977" s="233"/>
      <c r="P977" s="236"/>
      <c r="Q977" s="233"/>
      <c r="R977" s="233"/>
      <c r="S977" s="237"/>
      <c r="T977" s="233"/>
    </row>
    <row r="978" spans="1:20" s="19" customFormat="1" ht="44.25" customHeight="1" x14ac:dyDescent="0.3">
      <c r="A978" s="810" t="s">
        <v>5</v>
      </c>
      <c r="B978" s="812" t="s">
        <v>6</v>
      </c>
      <c r="C978" s="814" t="s">
        <v>7</v>
      </c>
      <c r="D978" s="817" t="s">
        <v>959</v>
      </c>
      <c r="E978" s="818"/>
      <c r="F978" s="819"/>
      <c r="G978" s="817" t="s">
        <v>960</v>
      </c>
      <c r="H978" s="818"/>
      <c r="I978" s="819"/>
      <c r="J978" s="817" t="s">
        <v>961</v>
      </c>
      <c r="K978" s="818"/>
      <c r="L978" s="819"/>
      <c r="M978" s="820" t="s">
        <v>8</v>
      </c>
      <c r="N978" s="823" t="s">
        <v>9</v>
      </c>
      <c r="O978" s="823" t="s">
        <v>10</v>
      </c>
      <c r="P978" s="824" t="s">
        <v>11</v>
      </c>
      <c r="Q978" s="824" t="s">
        <v>12</v>
      </c>
      <c r="R978" s="824" t="s">
        <v>13</v>
      </c>
      <c r="S978" s="812" t="s">
        <v>14</v>
      </c>
      <c r="T978" s="825" t="s">
        <v>15</v>
      </c>
    </row>
    <row r="979" spans="1:20" s="19" customFormat="1" ht="30.75" customHeight="1" x14ac:dyDescent="0.3">
      <c r="A979" s="811"/>
      <c r="B979" s="813"/>
      <c r="C979" s="815"/>
      <c r="D979" s="827" t="s">
        <v>16</v>
      </c>
      <c r="E979" s="803" t="s">
        <v>17</v>
      </c>
      <c r="F979" s="828"/>
      <c r="G979" s="827" t="s">
        <v>16</v>
      </c>
      <c r="H979" s="803" t="s">
        <v>17</v>
      </c>
      <c r="I979" s="828"/>
      <c r="J979" s="800" t="s">
        <v>18</v>
      </c>
      <c r="K979" s="803" t="s">
        <v>17</v>
      </c>
      <c r="L979" s="828"/>
      <c r="M979" s="821"/>
      <c r="N979" s="813"/>
      <c r="O979" s="813"/>
      <c r="P979" s="813"/>
      <c r="Q979" s="813"/>
      <c r="R979" s="813"/>
      <c r="S979" s="813"/>
      <c r="T979" s="826"/>
    </row>
    <row r="980" spans="1:20" s="19" customFormat="1" ht="58.5" customHeight="1" x14ac:dyDescent="0.3">
      <c r="A980" s="801"/>
      <c r="B980" s="766"/>
      <c r="C980" s="816"/>
      <c r="D980" s="801"/>
      <c r="E980" s="167" t="s">
        <v>962</v>
      </c>
      <c r="F980" s="185" t="s">
        <v>963</v>
      </c>
      <c r="G980" s="801"/>
      <c r="H980" s="167" t="s">
        <v>962</v>
      </c>
      <c r="I980" s="186" t="s">
        <v>963</v>
      </c>
      <c r="J980" s="801"/>
      <c r="K980" s="167" t="s">
        <v>962</v>
      </c>
      <c r="L980" s="185" t="s">
        <v>963</v>
      </c>
      <c r="M980" s="822"/>
      <c r="N980" s="766"/>
      <c r="O980" s="766"/>
      <c r="P980" s="766"/>
      <c r="Q980" s="766"/>
      <c r="R980" s="766"/>
      <c r="S980" s="766"/>
      <c r="T980" s="808"/>
    </row>
    <row r="981" spans="1:20" s="19" customFormat="1" ht="126" customHeight="1" x14ac:dyDescent="0.3">
      <c r="A981" s="179" t="s">
        <v>613</v>
      </c>
      <c r="B981" s="44" t="s">
        <v>614</v>
      </c>
      <c r="C981" s="49" t="s">
        <v>743</v>
      </c>
      <c r="D981" s="180">
        <f>E981+F981</f>
        <v>203</v>
      </c>
      <c r="E981" s="143">
        <v>90</v>
      </c>
      <c r="F981" s="181">
        <v>113</v>
      </c>
      <c r="G981" s="180">
        <f>+H981+I981</f>
        <v>203</v>
      </c>
      <c r="H981" s="143">
        <v>90</v>
      </c>
      <c r="I981" s="182">
        <v>113</v>
      </c>
      <c r="J981" s="180">
        <f>K981+L981</f>
        <v>40.299999999999997</v>
      </c>
      <c r="K981" s="143">
        <v>0</v>
      </c>
      <c r="L981" s="181">
        <v>40.299999999999997</v>
      </c>
      <c r="M981" s="377">
        <v>0</v>
      </c>
      <c r="N981" s="183">
        <f>L981/F981</f>
        <v>0.35663716814159291</v>
      </c>
      <c r="O981" s="142" t="s">
        <v>21</v>
      </c>
      <c r="P981" s="144" t="s">
        <v>140</v>
      </c>
      <c r="Q981" s="144" t="s">
        <v>23</v>
      </c>
      <c r="R981" s="138" t="s">
        <v>24</v>
      </c>
      <c r="S981" s="138" t="s">
        <v>25</v>
      </c>
      <c r="T981" s="184" t="s">
        <v>615</v>
      </c>
    </row>
    <row r="982" spans="1:20" s="19" customFormat="1" ht="18.75" customHeight="1" x14ac:dyDescent="0.3">
      <c r="A982" s="272" t="s">
        <v>27</v>
      </c>
      <c r="B982" s="273" t="s">
        <v>777</v>
      </c>
      <c r="C982" s="233"/>
      <c r="D982" s="233"/>
      <c r="E982" s="233"/>
      <c r="F982" s="233"/>
      <c r="G982" s="233"/>
      <c r="H982" s="233"/>
      <c r="I982" s="234"/>
      <c r="J982" s="233"/>
      <c r="K982" s="235"/>
      <c r="L982" s="235"/>
      <c r="M982" s="233"/>
      <c r="N982" s="235"/>
      <c r="O982" s="233"/>
      <c r="P982" s="236"/>
      <c r="Q982" s="233"/>
      <c r="R982" s="233"/>
      <c r="S982" s="233"/>
      <c r="T982" s="233"/>
    </row>
    <row r="983" spans="1:20" s="19" customFormat="1" ht="56.25" customHeight="1" x14ac:dyDescent="0.3">
      <c r="A983" s="781" t="s">
        <v>5</v>
      </c>
      <c r="B983" s="783" t="s">
        <v>663</v>
      </c>
      <c r="C983" s="783" t="s">
        <v>664</v>
      </c>
      <c r="D983" s="785" t="s">
        <v>665</v>
      </c>
      <c r="E983" s="786"/>
      <c r="F983" s="786"/>
      <c r="G983" s="787"/>
      <c r="H983" s="788" t="s">
        <v>666</v>
      </c>
      <c r="I983" s="790" t="s">
        <v>667</v>
      </c>
      <c r="J983" s="760"/>
      <c r="K983" s="791"/>
      <c r="L983" s="792" t="s">
        <v>668</v>
      </c>
      <c r="M983" s="793"/>
      <c r="N983" s="794" t="s">
        <v>43</v>
      </c>
      <c r="O983" s="783" t="s">
        <v>669</v>
      </c>
      <c r="P983" s="796" t="s">
        <v>670</v>
      </c>
      <c r="Q983" s="796" t="s">
        <v>42</v>
      </c>
      <c r="R983" s="783" t="s">
        <v>671</v>
      </c>
      <c r="S983" s="783" t="s">
        <v>44</v>
      </c>
      <c r="T983" s="798" t="s">
        <v>15</v>
      </c>
    </row>
    <row r="984" spans="1:20" s="19" customFormat="1" ht="98.25" customHeight="1" x14ac:dyDescent="0.3">
      <c r="A984" s="782"/>
      <c r="B984" s="784"/>
      <c r="C984" s="784"/>
      <c r="D984" s="407" t="s">
        <v>672</v>
      </c>
      <c r="E984" s="407" t="s">
        <v>673</v>
      </c>
      <c r="F984" s="407" t="s">
        <v>759</v>
      </c>
      <c r="G984" s="407" t="s">
        <v>17</v>
      </c>
      <c r="H984" s="789"/>
      <c r="I984" s="125" t="s">
        <v>674</v>
      </c>
      <c r="J984" s="418" t="s">
        <v>675</v>
      </c>
      <c r="K984" s="81" t="s">
        <v>676</v>
      </c>
      <c r="L984" s="82" t="s">
        <v>677</v>
      </c>
      <c r="M984" s="83" t="s">
        <v>678</v>
      </c>
      <c r="N984" s="795"/>
      <c r="O984" s="784"/>
      <c r="P984" s="797"/>
      <c r="Q984" s="797"/>
      <c r="R984" s="784"/>
      <c r="S984" s="784"/>
      <c r="T984" s="799"/>
    </row>
    <row r="985" spans="1:20" s="19" customFormat="1" ht="99" customHeight="1" x14ac:dyDescent="0.3">
      <c r="A985" s="226" t="s">
        <v>19</v>
      </c>
      <c r="B985" s="227" t="s">
        <v>679</v>
      </c>
      <c r="C985" s="228" t="s">
        <v>829</v>
      </c>
      <c r="D985" s="418" t="s">
        <v>549</v>
      </c>
      <c r="E985" s="418" t="s">
        <v>680</v>
      </c>
      <c r="F985" s="419">
        <v>40.299999999999997</v>
      </c>
      <c r="G985" s="420" t="s">
        <v>681</v>
      </c>
      <c r="H985" s="420" t="s">
        <v>830</v>
      </c>
      <c r="I985" s="420">
        <v>40.299999999999997</v>
      </c>
      <c r="J985" s="419">
        <v>0</v>
      </c>
      <c r="K985" s="419">
        <f>I985+J985</f>
        <v>40.299999999999997</v>
      </c>
      <c r="L985" s="419">
        <v>0</v>
      </c>
      <c r="M985" s="134"/>
      <c r="N985" s="260">
        <v>1</v>
      </c>
      <c r="O985" s="423">
        <v>1</v>
      </c>
      <c r="P985" s="231">
        <v>856000</v>
      </c>
      <c r="Q985" s="231">
        <f>+ROUND((P985*N985*K985),-3)</f>
        <v>34497000</v>
      </c>
      <c r="R985" s="231">
        <f>-ROUND((38000*J985*0.5%),-3)</f>
        <v>0</v>
      </c>
      <c r="S985" s="408">
        <f>+Q985+R985</f>
        <v>34497000</v>
      </c>
      <c r="T985" s="227" t="s">
        <v>833</v>
      </c>
    </row>
    <row r="986" spans="1:20" s="19" customFormat="1" ht="18.75" customHeight="1" x14ac:dyDescent="0.3">
      <c r="A986" s="272" t="s">
        <v>28</v>
      </c>
      <c r="B986" s="273" t="s">
        <v>141</v>
      </c>
      <c r="C986" s="233"/>
      <c r="D986" s="233"/>
      <c r="E986" s="233"/>
      <c r="F986" s="233"/>
      <c r="G986" s="233"/>
      <c r="H986" s="233"/>
      <c r="I986" s="234"/>
      <c r="J986" s="233"/>
      <c r="K986" s="235"/>
      <c r="L986" s="235"/>
      <c r="M986" s="233"/>
      <c r="N986" s="235"/>
      <c r="O986" s="233"/>
      <c r="P986" s="236"/>
      <c r="Q986" s="237"/>
      <c r="R986" s="237"/>
      <c r="S986" s="238">
        <f>S995</f>
        <v>3740000</v>
      </c>
      <c r="T986" s="233"/>
    </row>
    <row r="987" spans="1:20" s="19" customFormat="1" ht="42" customHeight="1" x14ac:dyDescent="0.3">
      <c r="A987" s="800" t="s">
        <v>5</v>
      </c>
      <c r="B987" s="802" t="s">
        <v>30</v>
      </c>
      <c r="C987" s="802" t="s">
        <v>31</v>
      </c>
      <c r="D987" s="802" t="s">
        <v>32</v>
      </c>
      <c r="E987" s="803" t="s">
        <v>33</v>
      </c>
      <c r="F987" s="758"/>
      <c r="G987" s="802" t="s">
        <v>34</v>
      </c>
      <c r="H987" s="802" t="s">
        <v>35</v>
      </c>
      <c r="I987" s="804" t="s">
        <v>36</v>
      </c>
      <c r="J987" s="758"/>
      <c r="K987" s="769" t="s">
        <v>37</v>
      </c>
      <c r="L987" s="769" t="s">
        <v>38</v>
      </c>
      <c r="M987" s="805" t="s">
        <v>39</v>
      </c>
      <c r="N987" s="802" t="s">
        <v>839</v>
      </c>
      <c r="O987" s="802" t="s">
        <v>967</v>
      </c>
      <c r="P987" s="806" t="s">
        <v>41</v>
      </c>
      <c r="Q987" s="806" t="s">
        <v>42</v>
      </c>
      <c r="R987" s="802" t="s">
        <v>43</v>
      </c>
      <c r="S987" s="802" t="s">
        <v>44</v>
      </c>
      <c r="T987" s="807" t="s">
        <v>15</v>
      </c>
    </row>
    <row r="988" spans="1:20" s="19" customFormat="1" ht="75.75" customHeight="1" x14ac:dyDescent="0.3">
      <c r="A988" s="801"/>
      <c r="B988" s="766"/>
      <c r="C988" s="766"/>
      <c r="D988" s="766"/>
      <c r="E988" s="167" t="s">
        <v>45</v>
      </c>
      <c r="F988" s="167" t="s">
        <v>46</v>
      </c>
      <c r="G988" s="766"/>
      <c r="H988" s="766"/>
      <c r="I988" s="140" t="s">
        <v>47</v>
      </c>
      <c r="J988" s="143" t="s">
        <v>48</v>
      </c>
      <c r="K988" s="766"/>
      <c r="L988" s="766"/>
      <c r="M988" s="766"/>
      <c r="N988" s="766"/>
      <c r="O988" s="766"/>
      <c r="P988" s="766"/>
      <c r="Q988" s="766"/>
      <c r="R988" s="766"/>
      <c r="S988" s="766"/>
      <c r="T988" s="808"/>
    </row>
    <row r="989" spans="1:20" s="19" customFormat="1" ht="18.75" x14ac:dyDescent="0.3">
      <c r="A989" s="147"/>
      <c r="B989" s="146" t="s">
        <v>835</v>
      </c>
      <c r="C989" s="148"/>
      <c r="D989" s="147"/>
      <c r="E989" s="147"/>
      <c r="F989" s="147"/>
      <c r="G989" s="149"/>
      <c r="H989" s="149"/>
      <c r="I989" s="150"/>
      <c r="J989" s="149"/>
      <c r="K989" s="147"/>
      <c r="L989" s="151"/>
      <c r="M989" s="152"/>
      <c r="N989" s="152"/>
      <c r="O989" s="153"/>
      <c r="P989" s="151"/>
      <c r="Q989" s="154"/>
      <c r="R989" s="154"/>
      <c r="S989" s="154">
        <f>SUM(S990:S991)</f>
        <v>2459000</v>
      </c>
      <c r="T989" s="147"/>
    </row>
    <row r="990" spans="1:20" s="19" customFormat="1" ht="72" customHeight="1" x14ac:dyDescent="0.3">
      <c r="A990" s="136" t="s">
        <v>19</v>
      </c>
      <c r="B990" s="156" t="s">
        <v>616</v>
      </c>
      <c r="C990" s="286" t="s">
        <v>842</v>
      </c>
      <c r="D990" s="52"/>
      <c r="E990" s="138" t="s">
        <v>27</v>
      </c>
      <c r="F990" s="139" t="s">
        <v>52</v>
      </c>
      <c r="G990" s="138" t="s">
        <v>146</v>
      </c>
      <c r="H990" s="138" t="s">
        <v>21</v>
      </c>
      <c r="I990" s="140" t="s">
        <v>454</v>
      </c>
      <c r="J990" s="141">
        <f>2026-I990</f>
        <v>10</v>
      </c>
      <c r="K990" s="142">
        <v>2</v>
      </c>
      <c r="L990" s="142">
        <f>K990</f>
        <v>2</v>
      </c>
      <c r="M990" s="52" t="s">
        <v>54</v>
      </c>
      <c r="N990" s="143">
        <f>10000/1500</f>
        <v>6.666666666666667</v>
      </c>
      <c r="O990" s="143">
        <f>N990*L990</f>
        <v>13.333333333333334</v>
      </c>
      <c r="P990" s="144">
        <v>534000</v>
      </c>
      <c r="Q990" s="144">
        <f>+ROUND((L990*P990),-3)</f>
        <v>1068000</v>
      </c>
      <c r="R990" s="145">
        <v>1</v>
      </c>
      <c r="S990" s="144">
        <f>+ROUND((Q990*R990),-3)</f>
        <v>1068000</v>
      </c>
      <c r="T990" s="52" t="s">
        <v>333</v>
      </c>
    </row>
    <row r="991" spans="1:20" s="19" customFormat="1" ht="72" customHeight="1" x14ac:dyDescent="0.3">
      <c r="A991" s="136" t="s">
        <v>98</v>
      </c>
      <c r="B991" s="156" t="s">
        <v>617</v>
      </c>
      <c r="C991" s="157" t="s">
        <v>618</v>
      </c>
      <c r="D991" s="52" t="s">
        <v>59</v>
      </c>
      <c r="E991" s="138" t="s">
        <v>27</v>
      </c>
      <c r="F991" s="139" t="s">
        <v>52</v>
      </c>
      <c r="G991" s="138" t="s">
        <v>146</v>
      </c>
      <c r="H991" s="138" t="s">
        <v>21</v>
      </c>
      <c r="I991" s="140" t="s">
        <v>508</v>
      </c>
      <c r="J991" s="141">
        <f>2026+1-I991-3</f>
        <v>5</v>
      </c>
      <c r="K991" s="142">
        <v>3</v>
      </c>
      <c r="L991" s="142">
        <f>K991</f>
        <v>3</v>
      </c>
      <c r="M991" s="52" t="s">
        <v>54</v>
      </c>
      <c r="N991" s="143">
        <f>10000/1600</f>
        <v>6.25</v>
      </c>
      <c r="O991" s="143">
        <f t="shared" ref="O991:O994" si="101">N991*L991</f>
        <v>18.75</v>
      </c>
      <c r="P991" s="144">
        <v>463600</v>
      </c>
      <c r="Q991" s="144">
        <f>+ROUND((L991*P991),-3)</f>
        <v>1391000</v>
      </c>
      <c r="R991" s="145">
        <v>1</v>
      </c>
      <c r="S991" s="144">
        <f>+ROUND((Q991*R991),-3)</f>
        <v>1391000</v>
      </c>
      <c r="T991" s="52" t="s">
        <v>843</v>
      </c>
    </row>
    <row r="992" spans="1:20" s="19" customFormat="1" ht="40.5" customHeight="1" x14ac:dyDescent="0.3">
      <c r="A992" s="147" t="s">
        <v>836</v>
      </c>
      <c r="B992" s="287" t="s">
        <v>837</v>
      </c>
      <c r="C992" s="288"/>
      <c r="D992" s="289"/>
      <c r="E992" s="289"/>
      <c r="F992" s="289"/>
      <c r="G992" s="290"/>
      <c r="H992" s="290"/>
      <c r="I992" s="291"/>
      <c r="J992" s="290"/>
      <c r="K992" s="292"/>
      <c r="L992" s="293"/>
      <c r="M992" s="293"/>
      <c r="N992" s="293"/>
      <c r="O992" s="294"/>
      <c r="P992" s="293"/>
      <c r="Q992" s="295"/>
      <c r="R992" s="295"/>
      <c r="S992" s="154">
        <f>S993</f>
        <v>1281000</v>
      </c>
      <c r="T992" s="289"/>
    </row>
    <row r="993" spans="1:20" s="19" customFormat="1" ht="18.75" x14ac:dyDescent="0.3">
      <c r="A993" s="289"/>
      <c r="B993" s="146" t="s">
        <v>838</v>
      </c>
      <c r="C993" s="296"/>
      <c r="D993" s="289"/>
      <c r="E993" s="289"/>
      <c r="F993" s="289"/>
      <c r="G993" s="290"/>
      <c r="H993" s="290"/>
      <c r="I993" s="291"/>
      <c r="J993" s="290"/>
      <c r="K993" s="292"/>
      <c r="L993" s="293"/>
      <c r="M993" s="293"/>
      <c r="N993" s="293"/>
      <c r="O993" s="294"/>
      <c r="P993" s="293"/>
      <c r="Q993" s="295"/>
      <c r="R993" s="295"/>
      <c r="S993" s="154">
        <f>SUM(S994)</f>
        <v>1281000</v>
      </c>
      <c r="T993" s="289"/>
    </row>
    <row r="994" spans="1:20" s="19" customFormat="1" ht="63" customHeight="1" x14ac:dyDescent="0.3">
      <c r="A994" s="136" t="s">
        <v>104</v>
      </c>
      <c r="B994" s="156" t="s">
        <v>507</v>
      </c>
      <c r="C994" s="157" t="s">
        <v>618</v>
      </c>
      <c r="D994" s="52" t="s">
        <v>51</v>
      </c>
      <c r="E994" s="138" t="s">
        <v>27</v>
      </c>
      <c r="F994" s="139" t="s">
        <v>52</v>
      </c>
      <c r="G994" s="138" t="s">
        <v>146</v>
      </c>
      <c r="H994" s="138" t="s">
        <v>21</v>
      </c>
      <c r="I994" s="140" t="s">
        <v>238</v>
      </c>
      <c r="J994" s="141">
        <f>2026+1-I994-3</f>
        <v>4</v>
      </c>
      <c r="K994" s="142">
        <v>2</v>
      </c>
      <c r="L994" s="142">
        <f>K994</f>
        <v>2</v>
      </c>
      <c r="M994" s="52" t="s">
        <v>54</v>
      </c>
      <c r="N994" s="143">
        <f>10000/625</f>
        <v>16</v>
      </c>
      <c r="O994" s="143">
        <f t="shared" si="101"/>
        <v>32</v>
      </c>
      <c r="P994" s="144">
        <v>640680</v>
      </c>
      <c r="Q994" s="144">
        <f>+ROUND((L994*P994),-3)</f>
        <v>1281000</v>
      </c>
      <c r="R994" s="145">
        <v>1</v>
      </c>
      <c r="S994" s="144">
        <f>+ROUND((Q994*R994),-3)</f>
        <v>1281000</v>
      </c>
      <c r="T994" s="52" t="s">
        <v>394</v>
      </c>
    </row>
    <row r="995" spans="1:20" s="19" customFormat="1" ht="48.75" customHeight="1" x14ac:dyDescent="0.3">
      <c r="A995" s="136"/>
      <c r="B995" s="166" t="s">
        <v>55</v>
      </c>
      <c r="C995" s="166"/>
      <c r="D995" s="240"/>
      <c r="E995" s="159"/>
      <c r="F995" s="167"/>
      <c r="G995" s="167"/>
      <c r="H995" s="167"/>
      <c r="I995" s="168"/>
      <c r="J995" s="167"/>
      <c r="K995" s="241">
        <v>0</v>
      </c>
      <c r="L995" s="241">
        <v>0</v>
      </c>
      <c r="M995" s="169"/>
      <c r="N995" s="170"/>
      <c r="O995" s="167"/>
      <c r="P995" s="45"/>
      <c r="Q995" s="45">
        <v>0</v>
      </c>
      <c r="R995" s="45"/>
      <c r="S995" s="45">
        <f>S992+S989</f>
        <v>3740000</v>
      </c>
      <c r="T995" s="185"/>
    </row>
    <row r="996" spans="1:20" s="19" customFormat="1" ht="45" customHeight="1" x14ac:dyDescent="0.3">
      <c r="A996" s="272" t="s">
        <v>56</v>
      </c>
      <c r="B996" s="273" t="s">
        <v>201</v>
      </c>
      <c r="C996" s="233"/>
      <c r="D996" s="233"/>
      <c r="E996" s="233"/>
      <c r="F996" s="233"/>
      <c r="G996" s="233"/>
      <c r="H996" s="233"/>
      <c r="I996" s="234"/>
      <c r="J996" s="233"/>
      <c r="K996" s="235"/>
      <c r="L996" s="235"/>
      <c r="M996" s="233"/>
      <c r="N996" s="235"/>
      <c r="O996" s="233"/>
      <c r="P996" s="236"/>
      <c r="Q996" s="233"/>
      <c r="R996" s="233"/>
      <c r="S996" s="237">
        <f>S1012</f>
        <v>19704000</v>
      </c>
      <c r="T996" s="233"/>
    </row>
    <row r="997" spans="1:20" s="19" customFormat="1" ht="18.75" customHeight="1" x14ac:dyDescent="0.3">
      <c r="A997" s="765"/>
      <c r="B997" s="767" t="s">
        <v>51</v>
      </c>
      <c r="C997" s="767" t="s">
        <v>58</v>
      </c>
      <c r="D997" s="768" t="s">
        <v>59</v>
      </c>
      <c r="E997" s="769" t="s">
        <v>60</v>
      </c>
      <c r="F997" s="769" t="s">
        <v>61</v>
      </c>
      <c r="G997" s="769" t="s">
        <v>62</v>
      </c>
      <c r="H997" s="769" t="s">
        <v>63</v>
      </c>
      <c r="I997" s="770" t="s">
        <v>64</v>
      </c>
      <c r="J997" s="757"/>
      <c r="K997" s="757"/>
      <c r="L997" s="757"/>
      <c r="M997" s="758"/>
      <c r="N997" s="771" t="s">
        <v>3</v>
      </c>
      <c r="O997" s="771" t="s">
        <v>65</v>
      </c>
      <c r="P997" s="771" t="s">
        <v>66</v>
      </c>
      <c r="Q997" s="771" t="s">
        <v>67</v>
      </c>
      <c r="R997" s="767" t="s">
        <v>68</v>
      </c>
      <c r="S997" s="767" t="s">
        <v>69</v>
      </c>
      <c r="T997" s="767" t="s">
        <v>70</v>
      </c>
    </row>
    <row r="998" spans="1:20" s="19" customFormat="1" ht="18.75" customHeight="1" x14ac:dyDescent="0.3">
      <c r="A998" s="766"/>
      <c r="B998" s="766"/>
      <c r="C998" s="766"/>
      <c r="D998" s="766"/>
      <c r="E998" s="766"/>
      <c r="F998" s="766"/>
      <c r="G998" s="766"/>
      <c r="H998" s="766"/>
      <c r="I998" s="168" t="s">
        <v>71</v>
      </c>
      <c r="J998" s="159" t="s">
        <v>72</v>
      </c>
      <c r="K998" s="159" t="s">
        <v>73</v>
      </c>
      <c r="L998" s="45" t="s">
        <v>74</v>
      </c>
      <c r="M998" s="204" t="s">
        <v>75</v>
      </c>
      <c r="N998" s="766"/>
      <c r="O998" s="766"/>
      <c r="P998" s="766"/>
      <c r="Q998" s="766"/>
      <c r="R998" s="766"/>
      <c r="S998" s="766"/>
      <c r="T998" s="766"/>
    </row>
    <row r="999" spans="1:20" s="19" customFormat="1" ht="78" customHeight="1" x14ac:dyDescent="0.3">
      <c r="A999" s="196" t="s">
        <v>5</v>
      </c>
      <c r="B999" s="49" t="s">
        <v>76</v>
      </c>
      <c r="C999" s="49" t="s">
        <v>77</v>
      </c>
      <c r="D999" s="49" t="s">
        <v>78</v>
      </c>
      <c r="E999" s="159" t="s">
        <v>79</v>
      </c>
      <c r="F999" s="159" t="s">
        <v>80</v>
      </c>
      <c r="G999" s="159" t="s">
        <v>81</v>
      </c>
      <c r="H999" s="45" t="s">
        <v>82</v>
      </c>
      <c r="I999" s="168" t="s">
        <v>83</v>
      </c>
      <c r="J999" s="242" t="s">
        <v>84</v>
      </c>
      <c r="K999" s="242" t="s">
        <v>85</v>
      </c>
      <c r="L999" s="49" t="s">
        <v>86</v>
      </c>
      <c r="M999" s="204" t="s">
        <v>87</v>
      </c>
      <c r="N999" s="159" t="s">
        <v>88</v>
      </c>
      <c r="O999" s="159" t="s">
        <v>89</v>
      </c>
      <c r="P999" s="159" t="s">
        <v>90</v>
      </c>
      <c r="Q999" s="159" t="s">
        <v>91</v>
      </c>
      <c r="R999" s="159" t="s">
        <v>92</v>
      </c>
      <c r="S999" s="159" t="s">
        <v>964</v>
      </c>
      <c r="T999" s="159" t="s">
        <v>15</v>
      </c>
    </row>
    <row r="1000" spans="1:20" s="19" customFormat="1" ht="45" customHeight="1" x14ac:dyDescent="0.3">
      <c r="A1000" s="155">
        <v>1</v>
      </c>
      <c r="B1000" s="156" t="s">
        <v>214</v>
      </c>
      <c r="C1000" s="156" t="s">
        <v>619</v>
      </c>
      <c r="D1000" s="157" t="s">
        <v>957</v>
      </c>
      <c r="E1000" s="158" t="s">
        <v>454</v>
      </c>
      <c r="F1000" s="159"/>
      <c r="G1000" s="325">
        <f t="shared" ref="G1000:G1011" si="102">2026-E1000</f>
        <v>10</v>
      </c>
      <c r="H1000" s="326" t="s">
        <v>95</v>
      </c>
      <c r="I1000" s="160">
        <f>2.8*3.5</f>
        <v>9.7999999999999989</v>
      </c>
      <c r="J1000" s="140" t="s">
        <v>96</v>
      </c>
      <c r="K1000" s="142">
        <f t="shared" ref="K1000:K1011" si="103">+I1000-J1000</f>
        <v>9.7999999999999989</v>
      </c>
      <c r="L1000" s="161">
        <v>0.99199999999999999</v>
      </c>
      <c r="M1000" s="144">
        <v>268000</v>
      </c>
      <c r="N1000" s="145">
        <v>0.3</v>
      </c>
      <c r="O1000" s="144">
        <f t="shared" ref="O1000:O1005" si="104">+M1000</f>
        <v>268000</v>
      </c>
      <c r="P1000" s="45">
        <f t="shared" ref="P1000:P1011" si="105">+ROUND((K1000*L1000*O1000*N1000),-3)</f>
        <v>782000</v>
      </c>
      <c r="Q1000" s="144" t="s">
        <v>97</v>
      </c>
      <c r="R1000" s="144" t="s">
        <v>97</v>
      </c>
      <c r="S1000" s="45">
        <f t="shared" ref="S1000:S1011" si="106">P1000</f>
        <v>782000</v>
      </c>
      <c r="T1000" s="138" t="s">
        <v>908</v>
      </c>
    </row>
    <row r="1001" spans="1:20" s="19" customFormat="1" ht="63" customHeight="1" x14ac:dyDescent="0.3">
      <c r="A1001" s="155">
        <v>2</v>
      </c>
      <c r="B1001" s="156" t="s">
        <v>99</v>
      </c>
      <c r="C1001" s="156" t="s">
        <v>620</v>
      </c>
      <c r="D1001" s="157" t="s">
        <v>958</v>
      </c>
      <c r="E1001" s="158" t="s">
        <v>454</v>
      </c>
      <c r="F1001" s="159"/>
      <c r="G1001" s="325">
        <f t="shared" si="102"/>
        <v>10</v>
      </c>
      <c r="H1001" s="326" t="s">
        <v>95</v>
      </c>
      <c r="I1001" s="160">
        <f>0.4*0.4*2*2</f>
        <v>0.64000000000000012</v>
      </c>
      <c r="J1001" s="140" t="s">
        <v>96</v>
      </c>
      <c r="K1001" s="142">
        <f t="shared" si="103"/>
        <v>0.64000000000000012</v>
      </c>
      <c r="L1001" s="161">
        <v>0.99199999999999999</v>
      </c>
      <c r="M1001" s="144">
        <v>2556000</v>
      </c>
      <c r="N1001" s="145">
        <v>0.3</v>
      </c>
      <c r="O1001" s="144">
        <f t="shared" si="104"/>
        <v>2556000</v>
      </c>
      <c r="P1001" s="45">
        <f t="shared" si="105"/>
        <v>487000</v>
      </c>
      <c r="Q1001" s="144" t="s">
        <v>97</v>
      </c>
      <c r="R1001" s="144" t="s">
        <v>97</v>
      </c>
      <c r="S1001" s="45">
        <f t="shared" si="106"/>
        <v>487000</v>
      </c>
      <c r="T1001" s="138" t="s">
        <v>916</v>
      </c>
    </row>
    <row r="1002" spans="1:20" s="19" customFormat="1" ht="37.5" x14ac:dyDescent="0.3">
      <c r="A1002" s="155">
        <v>3</v>
      </c>
      <c r="B1002" s="156" t="s">
        <v>105</v>
      </c>
      <c r="C1002" s="156" t="s">
        <v>621</v>
      </c>
      <c r="D1002" s="157" t="s">
        <v>957</v>
      </c>
      <c r="E1002" s="158" t="s">
        <v>454</v>
      </c>
      <c r="F1002" s="159"/>
      <c r="G1002" s="325">
        <f t="shared" si="102"/>
        <v>10</v>
      </c>
      <c r="H1002" s="326" t="s">
        <v>95</v>
      </c>
      <c r="I1002" s="160">
        <f>3*1.9</f>
        <v>5.6999999999999993</v>
      </c>
      <c r="J1002" s="140" t="s">
        <v>96</v>
      </c>
      <c r="K1002" s="142">
        <f t="shared" si="103"/>
        <v>5.6999999999999993</v>
      </c>
      <c r="L1002" s="161">
        <v>0.99199999999999999</v>
      </c>
      <c r="M1002" s="144">
        <v>835000</v>
      </c>
      <c r="N1002" s="145">
        <v>0.3</v>
      </c>
      <c r="O1002" s="144">
        <f t="shared" si="104"/>
        <v>835000</v>
      </c>
      <c r="P1002" s="45">
        <f t="shared" si="105"/>
        <v>1416000</v>
      </c>
      <c r="Q1002" s="144" t="s">
        <v>97</v>
      </c>
      <c r="R1002" s="144" t="s">
        <v>97</v>
      </c>
      <c r="S1002" s="45">
        <f t="shared" si="106"/>
        <v>1416000</v>
      </c>
      <c r="T1002" s="138" t="s">
        <v>911</v>
      </c>
    </row>
    <row r="1003" spans="1:20" s="19" customFormat="1" ht="168.75" x14ac:dyDescent="0.3">
      <c r="A1003" s="155">
        <v>4</v>
      </c>
      <c r="B1003" s="156" t="s">
        <v>93</v>
      </c>
      <c r="C1003" s="156" t="s">
        <v>975</v>
      </c>
      <c r="D1003" s="157" t="s">
        <v>957</v>
      </c>
      <c r="E1003" s="158" t="s">
        <v>454</v>
      </c>
      <c r="F1003" s="159"/>
      <c r="G1003" s="325">
        <f t="shared" si="102"/>
        <v>10</v>
      </c>
      <c r="H1003" s="326" t="s">
        <v>95</v>
      </c>
      <c r="I1003" s="160">
        <f>1.6*2.6</f>
        <v>4.16</v>
      </c>
      <c r="J1003" s="140" t="s">
        <v>96</v>
      </c>
      <c r="K1003" s="142">
        <f t="shared" si="103"/>
        <v>4.16</v>
      </c>
      <c r="L1003" s="161">
        <v>0.99199999999999999</v>
      </c>
      <c r="M1003" s="144">
        <v>1487000</v>
      </c>
      <c r="N1003" s="145">
        <v>0.3</v>
      </c>
      <c r="O1003" s="144">
        <f>+M1003*80%*90%</f>
        <v>1070640</v>
      </c>
      <c r="P1003" s="45">
        <f t="shared" si="105"/>
        <v>1325000</v>
      </c>
      <c r="Q1003" s="144" t="s">
        <v>97</v>
      </c>
      <c r="R1003" s="144" t="s">
        <v>97</v>
      </c>
      <c r="S1003" s="45">
        <f t="shared" si="106"/>
        <v>1325000</v>
      </c>
      <c r="T1003" s="138" t="s">
        <v>1072</v>
      </c>
    </row>
    <row r="1004" spans="1:20" s="19" customFormat="1" ht="93.75" x14ac:dyDescent="0.3">
      <c r="A1004" s="155">
        <v>5</v>
      </c>
      <c r="B1004" s="156" t="s">
        <v>113</v>
      </c>
      <c r="C1004" s="156" t="s">
        <v>622</v>
      </c>
      <c r="D1004" s="157" t="s">
        <v>957</v>
      </c>
      <c r="E1004" s="158" t="s">
        <v>454</v>
      </c>
      <c r="F1004" s="159"/>
      <c r="G1004" s="325">
        <f t="shared" si="102"/>
        <v>10</v>
      </c>
      <c r="H1004" s="326" t="s">
        <v>95</v>
      </c>
      <c r="I1004" s="160">
        <f>(2.9*6.1)+(2.8*2.9)</f>
        <v>25.809999999999995</v>
      </c>
      <c r="J1004" s="140" t="s">
        <v>96</v>
      </c>
      <c r="K1004" s="142">
        <f t="shared" si="103"/>
        <v>25.809999999999995</v>
      </c>
      <c r="L1004" s="161">
        <v>0.99199999999999999</v>
      </c>
      <c r="M1004" s="144">
        <v>418000</v>
      </c>
      <c r="N1004" s="145">
        <v>0.3</v>
      </c>
      <c r="O1004" s="144">
        <f t="shared" si="104"/>
        <v>418000</v>
      </c>
      <c r="P1004" s="45">
        <f t="shared" si="105"/>
        <v>3211000</v>
      </c>
      <c r="Q1004" s="144" t="s">
        <v>97</v>
      </c>
      <c r="R1004" s="144" t="s">
        <v>97</v>
      </c>
      <c r="S1004" s="45">
        <f t="shared" si="106"/>
        <v>3211000</v>
      </c>
      <c r="T1004" s="138" t="s">
        <v>919</v>
      </c>
    </row>
    <row r="1005" spans="1:20" s="19" customFormat="1" ht="89.25" customHeight="1" x14ac:dyDescent="0.3">
      <c r="A1005" s="155">
        <v>6</v>
      </c>
      <c r="B1005" s="156" t="s">
        <v>120</v>
      </c>
      <c r="C1005" s="156" t="s">
        <v>623</v>
      </c>
      <c r="D1005" s="157" t="s">
        <v>957</v>
      </c>
      <c r="E1005" s="158" t="s">
        <v>454</v>
      </c>
      <c r="F1005" s="159"/>
      <c r="G1005" s="325">
        <f t="shared" si="102"/>
        <v>10</v>
      </c>
      <c r="H1005" s="326" t="s">
        <v>95</v>
      </c>
      <c r="I1005" s="160">
        <f>(2.6*6.1)+(2.8*2.9)</f>
        <v>23.979999999999997</v>
      </c>
      <c r="J1005" s="140" t="s">
        <v>96</v>
      </c>
      <c r="K1005" s="138">
        <f t="shared" si="103"/>
        <v>23.979999999999997</v>
      </c>
      <c r="L1005" s="161">
        <v>0.99199999999999999</v>
      </c>
      <c r="M1005" s="144">
        <v>103000</v>
      </c>
      <c r="N1005" s="145">
        <v>0.3</v>
      </c>
      <c r="O1005" s="144">
        <f t="shared" si="104"/>
        <v>103000</v>
      </c>
      <c r="P1005" s="45">
        <f t="shared" si="105"/>
        <v>735000</v>
      </c>
      <c r="Q1005" s="144" t="s">
        <v>97</v>
      </c>
      <c r="R1005" s="144" t="s">
        <v>97</v>
      </c>
      <c r="S1005" s="45">
        <f t="shared" si="106"/>
        <v>735000</v>
      </c>
      <c r="T1005" s="138" t="s">
        <v>915</v>
      </c>
    </row>
    <row r="1006" spans="1:20" s="19" customFormat="1" ht="145.5" customHeight="1" x14ac:dyDescent="0.3">
      <c r="A1006" s="155">
        <v>7</v>
      </c>
      <c r="B1006" s="156" t="s">
        <v>111</v>
      </c>
      <c r="C1006" s="156" t="s">
        <v>973</v>
      </c>
      <c r="D1006" s="157" t="s">
        <v>957</v>
      </c>
      <c r="E1006" s="158" t="s">
        <v>454</v>
      </c>
      <c r="F1006" s="159"/>
      <c r="G1006" s="325">
        <f t="shared" si="102"/>
        <v>10</v>
      </c>
      <c r="H1006" s="326" t="s">
        <v>95</v>
      </c>
      <c r="I1006" s="160">
        <f>2.85*2</f>
        <v>5.7</v>
      </c>
      <c r="J1006" s="140" t="s">
        <v>96</v>
      </c>
      <c r="K1006" s="142">
        <f t="shared" si="103"/>
        <v>5.7</v>
      </c>
      <c r="L1006" s="161">
        <v>0.99199999999999999</v>
      </c>
      <c r="M1006" s="144">
        <v>1400000</v>
      </c>
      <c r="N1006" s="145">
        <v>0.3</v>
      </c>
      <c r="O1006" s="144">
        <f>M1006*80%*90%</f>
        <v>1008000</v>
      </c>
      <c r="P1006" s="45">
        <f t="shared" si="105"/>
        <v>1710000</v>
      </c>
      <c r="Q1006" s="144" t="s">
        <v>97</v>
      </c>
      <c r="R1006" s="144" t="s">
        <v>97</v>
      </c>
      <c r="S1006" s="45">
        <f t="shared" si="106"/>
        <v>1710000</v>
      </c>
      <c r="T1006" s="138" t="s">
        <v>921</v>
      </c>
    </row>
    <row r="1007" spans="1:20" s="19" customFormat="1" ht="150.75" customHeight="1" x14ac:dyDescent="0.3">
      <c r="A1007" s="155">
        <v>8</v>
      </c>
      <c r="B1007" s="156" t="s">
        <v>111</v>
      </c>
      <c r="C1007" s="156" t="s">
        <v>974</v>
      </c>
      <c r="D1007" s="157" t="s">
        <v>957</v>
      </c>
      <c r="E1007" s="158" t="s">
        <v>454</v>
      </c>
      <c r="F1007" s="159"/>
      <c r="G1007" s="325">
        <f t="shared" si="102"/>
        <v>10</v>
      </c>
      <c r="H1007" s="326" t="s">
        <v>95</v>
      </c>
      <c r="I1007" s="160">
        <f>1.2*1</f>
        <v>1.2</v>
      </c>
      <c r="J1007" s="140" t="s">
        <v>96</v>
      </c>
      <c r="K1007" s="142">
        <f t="shared" si="103"/>
        <v>1.2</v>
      </c>
      <c r="L1007" s="161">
        <v>0.99199999999999999</v>
      </c>
      <c r="M1007" s="144">
        <v>1400000</v>
      </c>
      <c r="N1007" s="145">
        <v>0.3</v>
      </c>
      <c r="O1007" s="144">
        <f>M1007*80%*90%</f>
        <v>1008000</v>
      </c>
      <c r="P1007" s="45">
        <f t="shared" si="105"/>
        <v>360000</v>
      </c>
      <c r="Q1007" s="144" t="s">
        <v>97</v>
      </c>
      <c r="R1007" s="144" t="s">
        <v>97</v>
      </c>
      <c r="S1007" s="45">
        <f t="shared" si="106"/>
        <v>360000</v>
      </c>
      <c r="T1007" s="138" t="s">
        <v>921</v>
      </c>
    </row>
    <row r="1008" spans="1:20" s="19" customFormat="1" ht="89.25" customHeight="1" x14ac:dyDescent="0.3">
      <c r="A1008" s="155">
        <v>9</v>
      </c>
      <c r="B1008" s="156" t="s">
        <v>93</v>
      </c>
      <c r="C1008" s="156" t="s">
        <v>1073</v>
      </c>
      <c r="D1008" s="157" t="s">
        <v>957</v>
      </c>
      <c r="E1008" s="158" t="s">
        <v>454</v>
      </c>
      <c r="F1008" s="159"/>
      <c r="G1008" s="325">
        <f t="shared" si="102"/>
        <v>10</v>
      </c>
      <c r="H1008" s="326" t="s">
        <v>95</v>
      </c>
      <c r="I1008" s="160">
        <f>1.5*5.2</f>
        <v>7.8000000000000007</v>
      </c>
      <c r="J1008" s="140" t="s">
        <v>96</v>
      </c>
      <c r="K1008" s="142">
        <f t="shared" si="103"/>
        <v>7.8000000000000007</v>
      </c>
      <c r="L1008" s="161">
        <v>0.99199999999999999</v>
      </c>
      <c r="M1008" s="144">
        <v>134000</v>
      </c>
      <c r="N1008" s="145">
        <v>0.3</v>
      </c>
      <c r="O1008" s="144">
        <f>+M1008</f>
        <v>134000</v>
      </c>
      <c r="P1008" s="45">
        <f t="shared" si="105"/>
        <v>311000</v>
      </c>
      <c r="Q1008" s="144" t="s">
        <v>97</v>
      </c>
      <c r="R1008" s="144" t="s">
        <v>97</v>
      </c>
      <c r="S1008" s="45">
        <f t="shared" si="106"/>
        <v>311000</v>
      </c>
      <c r="T1008" s="138" t="s">
        <v>912</v>
      </c>
    </row>
    <row r="1009" spans="1:20" s="19" customFormat="1" ht="162" customHeight="1" x14ac:dyDescent="0.3">
      <c r="A1009" s="155">
        <v>10</v>
      </c>
      <c r="B1009" s="156" t="s">
        <v>441</v>
      </c>
      <c r="C1009" s="156" t="s">
        <v>624</v>
      </c>
      <c r="D1009" s="157" t="s">
        <v>957</v>
      </c>
      <c r="E1009" s="158" t="s">
        <v>454</v>
      </c>
      <c r="F1009" s="159"/>
      <c r="G1009" s="325">
        <f t="shared" si="102"/>
        <v>10</v>
      </c>
      <c r="H1009" s="326" t="s">
        <v>95</v>
      </c>
      <c r="I1009" s="160">
        <f>3.1*2.6</f>
        <v>8.06</v>
      </c>
      <c r="J1009" s="140" t="s">
        <v>96</v>
      </c>
      <c r="K1009" s="142">
        <f t="shared" si="103"/>
        <v>8.06</v>
      </c>
      <c r="L1009" s="161">
        <v>0.99199999999999999</v>
      </c>
      <c r="M1009" s="144">
        <v>3791000</v>
      </c>
      <c r="N1009" s="145">
        <v>0.3</v>
      </c>
      <c r="O1009" s="144">
        <f>+M1009</f>
        <v>3791000</v>
      </c>
      <c r="P1009" s="45">
        <f t="shared" si="105"/>
        <v>9093000</v>
      </c>
      <c r="Q1009" s="144" t="s">
        <v>97</v>
      </c>
      <c r="R1009" s="144" t="s">
        <v>97</v>
      </c>
      <c r="S1009" s="45">
        <f t="shared" si="106"/>
        <v>9093000</v>
      </c>
      <c r="T1009" s="138" t="s">
        <v>924</v>
      </c>
    </row>
    <row r="1010" spans="1:20" s="19" customFormat="1" ht="112.5" x14ac:dyDescent="0.3">
      <c r="A1010" s="155" t="s">
        <v>101</v>
      </c>
      <c r="B1010" s="156" t="s">
        <v>163</v>
      </c>
      <c r="C1010" s="156" t="s">
        <v>1074</v>
      </c>
      <c r="D1010" s="157" t="s">
        <v>957</v>
      </c>
      <c r="E1010" s="158" t="s">
        <v>454</v>
      </c>
      <c r="F1010" s="159"/>
      <c r="G1010" s="325">
        <f t="shared" si="102"/>
        <v>10</v>
      </c>
      <c r="H1010" s="326" t="s">
        <v>95</v>
      </c>
      <c r="I1010" s="160">
        <f>3.1*2.6</f>
        <v>8.06</v>
      </c>
      <c r="J1010" s="140" t="s">
        <v>96</v>
      </c>
      <c r="K1010" s="142">
        <f t="shared" si="103"/>
        <v>8.06</v>
      </c>
      <c r="L1010" s="161">
        <v>0.99199999999999999</v>
      </c>
      <c r="M1010" s="162">
        <f>(256000-262000)</f>
        <v>-6000</v>
      </c>
      <c r="N1010" s="145">
        <v>0.3</v>
      </c>
      <c r="O1010" s="162">
        <f>+M1010</f>
        <v>-6000</v>
      </c>
      <c r="P1010" s="163">
        <f t="shared" si="105"/>
        <v>-14000</v>
      </c>
      <c r="Q1010" s="144" t="s">
        <v>97</v>
      </c>
      <c r="R1010" s="144" t="s">
        <v>97</v>
      </c>
      <c r="S1010" s="163">
        <f t="shared" si="106"/>
        <v>-14000</v>
      </c>
      <c r="T1010" s="138" t="s">
        <v>1075</v>
      </c>
    </row>
    <row r="1011" spans="1:20" s="19" customFormat="1" ht="120.75" customHeight="1" x14ac:dyDescent="0.3">
      <c r="A1011" s="155">
        <v>11</v>
      </c>
      <c r="B1011" s="156" t="s">
        <v>111</v>
      </c>
      <c r="C1011" s="156" t="s">
        <v>972</v>
      </c>
      <c r="D1011" s="157" t="s">
        <v>957</v>
      </c>
      <c r="E1011" s="158" t="s">
        <v>454</v>
      </c>
      <c r="F1011" s="159"/>
      <c r="G1011" s="325">
        <f t="shared" si="102"/>
        <v>10</v>
      </c>
      <c r="H1011" s="326" t="s">
        <v>95</v>
      </c>
      <c r="I1011" s="160">
        <f>1.6*0.6</f>
        <v>0.96</v>
      </c>
      <c r="J1011" s="140" t="s">
        <v>96</v>
      </c>
      <c r="K1011" s="142">
        <f t="shared" si="103"/>
        <v>0.96</v>
      </c>
      <c r="L1011" s="161">
        <v>0.99199999999999999</v>
      </c>
      <c r="M1011" s="144">
        <v>1400000</v>
      </c>
      <c r="N1011" s="145">
        <v>0.3</v>
      </c>
      <c r="O1011" s="144">
        <f>+M1011*80%*90%</f>
        <v>1008000</v>
      </c>
      <c r="P1011" s="45">
        <f t="shared" si="105"/>
        <v>288000</v>
      </c>
      <c r="Q1011" s="144" t="s">
        <v>97</v>
      </c>
      <c r="R1011" s="144" t="s">
        <v>97</v>
      </c>
      <c r="S1011" s="45">
        <f t="shared" si="106"/>
        <v>288000</v>
      </c>
      <c r="T1011" s="138" t="s">
        <v>1076</v>
      </c>
    </row>
    <row r="1012" spans="1:20" s="19" customFormat="1" ht="33" customHeight="1" x14ac:dyDescent="0.3">
      <c r="A1012" s="165"/>
      <c r="B1012" s="166" t="s">
        <v>55</v>
      </c>
      <c r="C1012" s="166"/>
      <c r="D1012" s="157"/>
      <c r="E1012" s="158"/>
      <c r="F1012" s="167"/>
      <c r="G1012" s="167"/>
      <c r="H1012" s="167"/>
      <c r="I1012" s="168">
        <v>0</v>
      </c>
      <c r="J1012" s="168">
        <v>0</v>
      </c>
      <c r="K1012" s="168">
        <v>0</v>
      </c>
      <c r="L1012" s="45"/>
      <c r="M1012" s="169"/>
      <c r="N1012" s="170"/>
      <c r="O1012" s="167"/>
      <c r="P1012" s="45">
        <v>0</v>
      </c>
      <c r="Q1012" s="45">
        <v>0</v>
      </c>
      <c r="R1012" s="45">
        <v>0</v>
      </c>
      <c r="S1012" s="45">
        <f>SUM(S1000:S1011)</f>
        <v>19704000</v>
      </c>
      <c r="T1012" s="167"/>
    </row>
    <row r="1013" spans="1:20" s="19" customFormat="1" ht="30" customHeight="1" x14ac:dyDescent="0.3">
      <c r="A1013" s="171" t="s">
        <v>131</v>
      </c>
      <c r="B1013" s="297" t="s">
        <v>132</v>
      </c>
      <c r="C1013" s="670"/>
      <c r="D1013" s="670"/>
      <c r="E1013" s="670"/>
      <c r="F1013" s="670"/>
      <c r="G1013" s="670"/>
      <c r="H1013" s="670"/>
      <c r="I1013" s="671"/>
      <c r="J1013" s="670"/>
      <c r="K1013" s="670"/>
      <c r="L1013" s="670"/>
      <c r="M1013" s="670"/>
      <c r="N1013" s="670"/>
      <c r="O1013" s="670"/>
      <c r="P1013" s="670"/>
      <c r="Q1013" s="670"/>
      <c r="R1013" s="670"/>
      <c r="S1013" s="670"/>
      <c r="T1013" s="670"/>
    </row>
    <row r="1014" spans="1:20" s="19" customFormat="1" ht="30" customHeight="1" x14ac:dyDescent="0.3">
      <c r="A1014" s="171" t="s">
        <v>133</v>
      </c>
      <c r="B1014" s="297" t="s">
        <v>134</v>
      </c>
      <c r="C1014" s="670"/>
      <c r="D1014" s="670"/>
      <c r="E1014" s="670"/>
      <c r="F1014" s="670"/>
      <c r="G1014" s="670"/>
      <c r="H1014" s="670"/>
      <c r="I1014" s="671"/>
      <c r="J1014" s="670"/>
      <c r="K1014" s="670"/>
      <c r="L1014" s="670"/>
      <c r="M1014" s="670"/>
      <c r="N1014" s="670"/>
      <c r="O1014" s="670"/>
      <c r="P1014" s="670"/>
      <c r="Q1014" s="670"/>
      <c r="R1014" s="670"/>
      <c r="S1014" s="670"/>
      <c r="T1014" s="672"/>
    </row>
    <row r="1015" spans="1:20" s="19" customFormat="1" ht="30" customHeight="1" x14ac:dyDescent="0.3">
      <c r="A1015" s="178" t="s">
        <v>135</v>
      </c>
      <c r="B1015" s="756" t="s">
        <v>625</v>
      </c>
      <c r="C1015" s="757"/>
      <c r="D1015" s="757"/>
      <c r="E1015" s="757"/>
      <c r="F1015" s="757"/>
      <c r="G1015" s="757"/>
      <c r="H1015" s="757"/>
      <c r="I1015" s="757"/>
      <c r="J1015" s="757"/>
      <c r="K1015" s="757"/>
      <c r="L1015" s="757"/>
      <c r="M1015" s="757"/>
      <c r="N1015" s="757"/>
      <c r="O1015" s="757"/>
      <c r="P1015" s="757"/>
      <c r="Q1015" s="757"/>
      <c r="R1015" s="758"/>
      <c r="S1015" s="29">
        <f>+S1012+S995</f>
        <v>23444000</v>
      </c>
      <c r="T1015" s="174" t="s">
        <v>137</v>
      </c>
    </row>
    <row r="1016" spans="1:20" ht="28.5" customHeight="1" x14ac:dyDescent="0.3">
      <c r="A1016" s="474"/>
      <c r="B1016" s="829" t="s">
        <v>626</v>
      </c>
      <c r="C1016" s="773"/>
      <c r="D1016" s="773"/>
      <c r="E1016" s="773"/>
      <c r="F1016" s="773"/>
      <c r="G1016" s="773"/>
      <c r="H1016" s="773"/>
      <c r="I1016" s="773"/>
      <c r="J1016" s="773"/>
      <c r="K1016" s="773"/>
      <c r="L1016" s="773"/>
      <c r="M1016" s="773"/>
      <c r="N1016" s="773"/>
      <c r="O1016" s="773"/>
      <c r="P1016" s="773"/>
      <c r="Q1016" s="773"/>
      <c r="R1016" s="773"/>
      <c r="S1016" s="773"/>
      <c r="T1016" s="474"/>
    </row>
    <row r="1017" spans="1:20" ht="18.75" customHeight="1" x14ac:dyDescent="0.3">
      <c r="A1017" s="474"/>
      <c r="B1017" s="772" t="s">
        <v>1</v>
      </c>
      <c r="C1017" s="773"/>
      <c r="D1017" s="773"/>
      <c r="E1017" s="773"/>
      <c r="F1017" s="773"/>
      <c r="G1017" s="773"/>
      <c r="H1017" s="773"/>
      <c r="I1017" s="773"/>
      <c r="J1017" s="773"/>
      <c r="K1017" s="773"/>
      <c r="L1017" s="773"/>
      <c r="M1017" s="773"/>
      <c r="N1017" s="773"/>
      <c r="O1017" s="773"/>
      <c r="P1017" s="773"/>
      <c r="Q1017" s="773"/>
      <c r="R1017" s="773"/>
      <c r="S1017" s="773"/>
      <c r="T1017" s="474"/>
    </row>
    <row r="1018" spans="1:20" ht="18.75" customHeight="1" x14ac:dyDescent="0.3">
      <c r="A1018" s="474"/>
      <c r="B1018" s="772" t="s">
        <v>2</v>
      </c>
      <c r="C1018" s="773"/>
      <c r="D1018" s="773"/>
      <c r="E1018" s="773"/>
      <c r="F1018" s="773"/>
      <c r="G1018" s="773"/>
      <c r="H1018" s="773"/>
      <c r="I1018" s="773"/>
      <c r="J1018" s="773"/>
      <c r="K1018" s="773"/>
      <c r="L1018" s="773"/>
      <c r="M1018" s="773"/>
      <c r="N1018" s="773"/>
      <c r="O1018" s="773"/>
      <c r="P1018" s="773"/>
      <c r="Q1018" s="773"/>
      <c r="R1018" s="773"/>
      <c r="S1018" s="773"/>
      <c r="T1018" s="474"/>
    </row>
    <row r="1019" spans="1:20" s="135" customFormat="1" ht="23.25" customHeight="1" x14ac:dyDescent="0.3">
      <c r="A1019" s="630"/>
      <c r="B1019" s="774" t="str">
        <f>B904</f>
        <v>(Kèm theo Quyết định số     /QĐ-UBND ngày     tháng     năm 2026 của Ủy ban nhân dân xã Thuận An)</v>
      </c>
      <c r="C1019" s="775"/>
      <c r="D1019" s="775"/>
      <c r="E1019" s="775"/>
      <c r="F1019" s="775"/>
      <c r="G1019" s="775"/>
      <c r="H1019" s="775"/>
      <c r="I1019" s="775"/>
      <c r="J1019" s="775"/>
      <c r="K1019" s="775"/>
      <c r="L1019" s="775"/>
      <c r="M1019" s="775"/>
      <c r="N1019" s="775"/>
      <c r="O1019" s="775"/>
      <c r="P1019" s="775"/>
      <c r="Q1019" s="775"/>
      <c r="R1019" s="775"/>
      <c r="S1019" s="775"/>
      <c r="T1019" s="630"/>
    </row>
    <row r="1020" spans="1:20" s="19" customFormat="1" ht="36" customHeight="1" x14ac:dyDescent="0.3">
      <c r="A1020" s="272" t="s">
        <v>3</v>
      </c>
      <c r="B1020" s="273" t="s">
        <v>4</v>
      </c>
      <c r="C1020" s="233"/>
      <c r="D1020" s="233"/>
      <c r="E1020" s="233"/>
      <c r="F1020" s="233"/>
      <c r="G1020" s="233"/>
      <c r="H1020" s="233"/>
      <c r="I1020" s="234"/>
      <c r="J1020" s="233"/>
      <c r="K1020" s="235"/>
      <c r="L1020" s="235"/>
      <c r="M1020" s="233"/>
      <c r="N1020" s="235"/>
      <c r="O1020" s="233"/>
      <c r="P1020" s="236"/>
      <c r="Q1020" s="233"/>
      <c r="R1020" s="233"/>
      <c r="S1020" s="237"/>
      <c r="T1020" s="233"/>
    </row>
    <row r="1021" spans="1:20" s="19" customFormat="1" ht="44.25" customHeight="1" x14ac:dyDescent="0.3">
      <c r="A1021" s="776" t="s">
        <v>5</v>
      </c>
      <c r="B1021" s="778" t="s">
        <v>6</v>
      </c>
      <c r="C1021" s="778" t="s">
        <v>7</v>
      </c>
      <c r="D1021" s="778" t="s">
        <v>959</v>
      </c>
      <c r="E1021" s="777"/>
      <c r="F1021" s="777"/>
      <c r="G1021" s="778" t="s">
        <v>960</v>
      </c>
      <c r="H1021" s="777"/>
      <c r="I1021" s="777"/>
      <c r="J1021" s="778" t="s">
        <v>961</v>
      </c>
      <c r="K1021" s="777"/>
      <c r="L1021" s="777"/>
      <c r="M1021" s="779" t="s">
        <v>8</v>
      </c>
      <c r="N1021" s="779" t="s">
        <v>9</v>
      </c>
      <c r="O1021" s="779" t="s">
        <v>10</v>
      </c>
      <c r="P1021" s="780" t="s">
        <v>11</v>
      </c>
      <c r="Q1021" s="780" t="s">
        <v>12</v>
      </c>
      <c r="R1021" s="780" t="s">
        <v>13</v>
      </c>
      <c r="S1021" s="778" t="s">
        <v>14</v>
      </c>
      <c r="T1021" s="778" t="s">
        <v>15</v>
      </c>
    </row>
    <row r="1022" spans="1:20" s="19" customFormat="1" ht="30.75" customHeight="1" x14ac:dyDescent="0.3">
      <c r="A1022" s="777"/>
      <c r="B1022" s="777"/>
      <c r="C1022" s="777"/>
      <c r="D1022" s="778" t="s">
        <v>16</v>
      </c>
      <c r="E1022" s="778" t="s">
        <v>17</v>
      </c>
      <c r="F1022" s="777"/>
      <c r="G1022" s="778" t="s">
        <v>16</v>
      </c>
      <c r="H1022" s="778" t="s">
        <v>17</v>
      </c>
      <c r="I1022" s="777"/>
      <c r="J1022" s="776" t="s">
        <v>18</v>
      </c>
      <c r="K1022" s="778" t="s">
        <v>17</v>
      </c>
      <c r="L1022" s="777"/>
      <c r="M1022" s="777"/>
      <c r="N1022" s="777"/>
      <c r="O1022" s="777"/>
      <c r="P1022" s="777"/>
      <c r="Q1022" s="777"/>
      <c r="R1022" s="777"/>
      <c r="S1022" s="777"/>
      <c r="T1022" s="777"/>
    </row>
    <row r="1023" spans="1:20" s="19" customFormat="1" ht="58.5" customHeight="1" x14ac:dyDescent="0.3">
      <c r="A1023" s="777"/>
      <c r="B1023" s="777"/>
      <c r="C1023" s="777"/>
      <c r="D1023" s="777"/>
      <c r="E1023" s="415" t="s">
        <v>962</v>
      </c>
      <c r="F1023" s="415" t="s">
        <v>963</v>
      </c>
      <c r="G1023" s="777"/>
      <c r="H1023" s="415" t="s">
        <v>962</v>
      </c>
      <c r="I1023" s="189" t="s">
        <v>963</v>
      </c>
      <c r="J1023" s="777"/>
      <c r="K1023" s="415" t="s">
        <v>962</v>
      </c>
      <c r="L1023" s="415" t="s">
        <v>963</v>
      </c>
      <c r="M1023" s="777"/>
      <c r="N1023" s="777"/>
      <c r="O1023" s="777"/>
      <c r="P1023" s="777"/>
      <c r="Q1023" s="777"/>
      <c r="R1023" s="777"/>
      <c r="S1023" s="777"/>
      <c r="T1023" s="777"/>
    </row>
    <row r="1024" spans="1:20" s="19" customFormat="1" ht="84.75" customHeight="1" x14ac:dyDescent="0.3">
      <c r="A1024" s="298" t="s">
        <v>627</v>
      </c>
      <c r="B1024" s="190" t="s">
        <v>628</v>
      </c>
      <c r="C1024" s="424" t="s">
        <v>742</v>
      </c>
      <c r="D1024" s="191">
        <f>E1024+F1024</f>
        <v>138</v>
      </c>
      <c r="E1024" s="191">
        <v>120</v>
      </c>
      <c r="F1024" s="191">
        <v>18</v>
      </c>
      <c r="G1024" s="191">
        <f>+H1024+I1024</f>
        <v>138</v>
      </c>
      <c r="H1024" s="191">
        <v>120</v>
      </c>
      <c r="I1024" s="192">
        <v>18</v>
      </c>
      <c r="J1024" s="191">
        <f>K1024+L1024</f>
        <v>36.799999999999997</v>
      </c>
      <c r="K1024" s="191">
        <v>18.8</v>
      </c>
      <c r="L1024" s="191">
        <v>18</v>
      </c>
      <c r="M1024" s="193">
        <f>K1024/E1024</f>
        <v>0.15666666666666668</v>
      </c>
      <c r="N1024" s="193">
        <f>L1024/F1024</f>
        <v>1</v>
      </c>
      <c r="O1024" s="194" t="s">
        <v>21</v>
      </c>
      <c r="P1024" s="195" t="s">
        <v>140</v>
      </c>
      <c r="Q1024" s="195" t="s">
        <v>23</v>
      </c>
      <c r="R1024" s="248" t="s">
        <v>24</v>
      </c>
      <c r="S1024" s="248" t="s">
        <v>25</v>
      </c>
      <c r="T1024" s="248" t="s">
        <v>629</v>
      </c>
    </row>
    <row r="1025" spans="1:20" s="19" customFormat="1" ht="18.75" customHeight="1" x14ac:dyDescent="0.3">
      <c r="A1025" s="299" t="s">
        <v>27</v>
      </c>
      <c r="B1025" s="300" t="s">
        <v>777</v>
      </c>
      <c r="C1025" s="301"/>
      <c r="D1025" s="301"/>
      <c r="E1025" s="301"/>
      <c r="F1025" s="301"/>
      <c r="G1025" s="301"/>
      <c r="H1025" s="301"/>
      <c r="I1025" s="302"/>
      <c r="J1025" s="301"/>
      <c r="K1025" s="303"/>
      <c r="L1025" s="303"/>
      <c r="M1025" s="301"/>
      <c r="N1025" s="303"/>
      <c r="O1025" s="301"/>
      <c r="P1025" s="304"/>
      <c r="Q1025" s="301"/>
      <c r="R1025" s="301"/>
      <c r="S1025" s="301"/>
      <c r="T1025" s="301"/>
    </row>
    <row r="1026" spans="1:20" s="19" customFormat="1" ht="60" customHeight="1" x14ac:dyDescent="0.3">
      <c r="A1026" s="760" t="s">
        <v>5</v>
      </c>
      <c r="B1026" s="761" t="s">
        <v>663</v>
      </c>
      <c r="C1026" s="761" t="s">
        <v>664</v>
      </c>
      <c r="D1026" s="761" t="s">
        <v>665</v>
      </c>
      <c r="E1026" s="761"/>
      <c r="F1026" s="761"/>
      <c r="G1026" s="761"/>
      <c r="H1026" s="761" t="s">
        <v>666</v>
      </c>
      <c r="I1026" s="760" t="s">
        <v>667</v>
      </c>
      <c r="J1026" s="760"/>
      <c r="K1026" s="760"/>
      <c r="L1026" s="762" t="s">
        <v>668</v>
      </c>
      <c r="M1026" s="762"/>
      <c r="N1026" s="761" t="s">
        <v>43</v>
      </c>
      <c r="O1026" s="761" t="s">
        <v>669</v>
      </c>
      <c r="P1026" s="763" t="s">
        <v>670</v>
      </c>
      <c r="Q1026" s="763" t="s">
        <v>42</v>
      </c>
      <c r="R1026" s="761" t="s">
        <v>671</v>
      </c>
      <c r="S1026" s="761" t="s">
        <v>44</v>
      </c>
      <c r="T1026" s="761" t="s">
        <v>15</v>
      </c>
    </row>
    <row r="1027" spans="1:20" s="19" customFormat="1" ht="84.75" customHeight="1" x14ac:dyDescent="0.3">
      <c r="A1027" s="760"/>
      <c r="B1027" s="761"/>
      <c r="C1027" s="761"/>
      <c r="D1027" s="407" t="s">
        <v>672</v>
      </c>
      <c r="E1027" s="407" t="s">
        <v>673</v>
      </c>
      <c r="F1027" s="407" t="s">
        <v>759</v>
      </c>
      <c r="G1027" s="407" t="s">
        <v>17</v>
      </c>
      <c r="H1027" s="761"/>
      <c r="I1027" s="420" t="s">
        <v>674</v>
      </c>
      <c r="J1027" s="418" t="s">
        <v>675</v>
      </c>
      <c r="K1027" s="419" t="s">
        <v>676</v>
      </c>
      <c r="L1027" s="419" t="s">
        <v>677</v>
      </c>
      <c r="M1027" s="134" t="s">
        <v>678</v>
      </c>
      <c r="N1027" s="761"/>
      <c r="O1027" s="761"/>
      <c r="P1027" s="763"/>
      <c r="Q1027" s="763"/>
      <c r="R1027" s="761"/>
      <c r="S1027" s="761"/>
      <c r="T1027" s="761"/>
    </row>
    <row r="1028" spans="1:20" s="19" customFormat="1" ht="118.5" customHeight="1" x14ac:dyDescent="0.3">
      <c r="A1028" s="305" t="s">
        <v>19</v>
      </c>
      <c r="B1028" s="227" t="s">
        <v>819</v>
      </c>
      <c r="C1028" s="228" t="s">
        <v>831</v>
      </c>
      <c r="D1028" s="418" t="s">
        <v>573</v>
      </c>
      <c r="E1028" s="418" t="s">
        <v>680</v>
      </c>
      <c r="F1028" s="419">
        <v>18.8</v>
      </c>
      <c r="G1028" s="420" t="s">
        <v>791</v>
      </c>
      <c r="H1028" s="420" t="s">
        <v>832</v>
      </c>
      <c r="I1028" s="420">
        <v>18.8</v>
      </c>
      <c r="J1028" s="419">
        <v>0</v>
      </c>
      <c r="K1028" s="419">
        <f>I1028+J1028</f>
        <v>18.8</v>
      </c>
      <c r="L1028" s="419">
        <v>0</v>
      </c>
      <c r="M1028" s="134"/>
      <c r="N1028" s="260">
        <v>1</v>
      </c>
      <c r="O1028" s="423">
        <v>1</v>
      </c>
      <c r="P1028" s="231">
        <v>6572000</v>
      </c>
      <c r="Q1028" s="231">
        <f>+ROUND((P1028*N1028*K1028),-3)</f>
        <v>123554000</v>
      </c>
      <c r="R1028" s="231">
        <f>-ROUND((38000*J1028*0.5%),-3)</f>
        <v>0</v>
      </c>
      <c r="S1028" s="408">
        <f>+Q1028+R1028</f>
        <v>123554000</v>
      </c>
      <c r="T1028" s="764" t="s">
        <v>833</v>
      </c>
    </row>
    <row r="1029" spans="1:20" s="19" customFormat="1" ht="102.75" customHeight="1" x14ac:dyDescent="0.3">
      <c r="A1029" s="305" t="s">
        <v>98</v>
      </c>
      <c r="B1029" s="227" t="s">
        <v>679</v>
      </c>
      <c r="C1029" s="228" t="s">
        <v>831</v>
      </c>
      <c r="D1029" s="418" t="s">
        <v>573</v>
      </c>
      <c r="E1029" s="418" t="s">
        <v>680</v>
      </c>
      <c r="F1029" s="419">
        <v>18</v>
      </c>
      <c r="G1029" s="420" t="s">
        <v>681</v>
      </c>
      <c r="H1029" s="420" t="s">
        <v>832</v>
      </c>
      <c r="I1029" s="420">
        <v>18</v>
      </c>
      <c r="J1029" s="419">
        <v>0</v>
      </c>
      <c r="K1029" s="419">
        <f>I1029+J1029</f>
        <v>18</v>
      </c>
      <c r="L1029" s="419">
        <v>0</v>
      </c>
      <c r="M1029" s="134"/>
      <c r="N1029" s="260">
        <v>1</v>
      </c>
      <c r="O1029" s="423">
        <v>1</v>
      </c>
      <c r="P1029" s="231">
        <v>856000</v>
      </c>
      <c r="Q1029" s="231">
        <f>+ROUND((P1029*N1029*K1029),-3)</f>
        <v>15408000</v>
      </c>
      <c r="R1029" s="231">
        <f>-ROUND((38000*J1029*0.5%),-3)</f>
        <v>0</v>
      </c>
      <c r="S1029" s="408">
        <f>+Q1029+R1029</f>
        <v>15408000</v>
      </c>
      <c r="T1029" s="764"/>
    </row>
    <row r="1030" spans="1:20" s="19" customFormat="1" ht="18.75" customHeight="1" x14ac:dyDescent="0.3">
      <c r="A1030" s="272" t="s">
        <v>28</v>
      </c>
      <c r="B1030" s="273" t="s">
        <v>141</v>
      </c>
      <c r="C1030" s="233"/>
      <c r="D1030" s="233"/>
      <c r="E1030" s="233"/>
      <c r="F1030" s="233"/>
      <c r="G1030" s="233"/>
      <c r="H1030" s="233"/>
      <c r="I1030" s="234"/>
      <c r="J1030" s="233"/>
      <c r="K1030" s="235"/>
      <c r="L1030" s="235"/>
      <c r="M1030" s="233"/>
      <c r="N1030" s="235"/>
      <c r="O1030" s="233"/>
      <c r="P1030" s="236"/>
      <c r="Q1030" s="237"/>
      <c r="R1030" s="237"/>
      <c r="S1030" s="237"/>
      <c r="T1030" s="233"/>
    </row>
    <row r="1031" spans="1:20" s="19" customFormat="1" ht="18.75" customHeight="1" x14ac:dyDescent="0.3">
      <c r="A1031" s="272" t="s">
        <v>56</v>
      </c>
      <c r="B1031" s="273" t="s">
        <v>201</v>
      </c>
      <c r="C1031" s="233"/>
      <c r="D1031" s="233"/>
      <c r="E1031" s="233"/>
      <c r="F1031" s="233"/>
      <c r="G1031" s="233"/>
      <c r="H1031" s="233"/>
      <c r="I1031" s="234"/>
      <c r="J1031" s="233"/>
      <c r="K1031" s="235"/>
      <c r="L1031" s="235"/>
      <c r="M1031" s="233"/>
      <c r="N1031" s="235"/>
      <c r="O1031" s="233"/>
      <c r="P1031" s="236"/>
      <c r="Q1031" s="233"/>
      <c r="R1031" s="233"/>
      <c r="S1031" s="237">
        <f>S1046</f>
        <v>16135000</v>
      </c>
      <c r="T1031" s="233"/>
    </row>
    <row r="1032" spans="1:20" s="19" customFormat="1" ht="18.75" customHeight="1" x14ac:dyDescent="0.3">
      <c r="A1032" s="765"/>
      <c r="B1032" s="767" t="s">
        <v>51</v>
      </c>
      <c r="C1032" s="767" t="s">
        <v>58</v>
      </c>
      <c r="D1032" s="768" t="s">
        <v>59</v>
      </c>
      <c r="E1032" s="769" t="s">
        <v>60</v>
      </c>
      <c r="F1032" s="769" t="s">
        <v>61</v>
      </c>
      <c r="G1032" s="769" t="s">
        <v>62</v>
      </c>
      <c r="H1032" s="769" t="s">
        <v>63</v>
      </c>
      <c r="I1032" s="770" t="s">
        <v>64</v>
      </c>
      <c r="J1032" s="757"/>
      <c r="K1032" s="757"/>
      <c r="L1032" s="757"/>
      <c r="M1032" s="758"/>
      <c r="N1032" s="771" t="s">
        <v>3</v>
      </c>
      <c r="O1032" s="771" t="s">
        <v>65</v>
      </c>
      <c r="P1032" s="771" t="s">
        <v>66</v>
      </c>
      <c r="Q1032" s="771" t="s">
        <v>67</v>
      </c>
      <c r="R1032" s="767" t="s">
        <v>68</v>
      </c>
      <c r="S1032" s="767" t="s">
        <v>69</v>
      </c>
      <c r="T1032" s="767" t="s">
        <v>70</v>
      </c>
    </row>
    <row r="1033" spans="1:20" s="19" customFormat="1" ht="18.75" customHeight="1" x14ac:dyDescent="0.3">
      <c r="A1033" s="766"/>
      <c r="B1033" s="766"/>
      <c r="C1033" s="766"/>
      <c r="D1033" s="766"/>
      <c r="E1033" s="766"/>
      <c r="F1033" s="766"/>
      <c r="G1033" s="766"/>
      <c r="H1033" s="766"/>
      <c r="I1033" s="168" t="s">
        <v>71</v>
      </c>
      <c r="J1033" s="159" t="s">
        <v>72</v>
      </c>
      <c r="K1033" s="159" t="s">
        <v>73</v>
      </c>
      <c r="L1033" s="45" t="s">
        <v>74</v>
      </c>
      <c r="M1033" s="204" t="s">
        <v>75</v>
      </c>
      <c r="N1033" s="766"/>
      <c r="O1033" s="766"/>
      <c r="P1033" s="766"/>
      <c r="Q1033" s="766"/>
      <c r="R1033" s="766"/>
      <c r="S1033" s="766"/>
      <c r="T1033" s="766"/>
    </row>
    <row r="1034" spans="1:20" s="19" customFormat="1" ht="87" customHeight="1" x14ac:dyDescent="0.3">
      <c r="A1034" s="196" t="s">
        <v>5</v>
      </c>
      <c r="B1034" s="49" t="s">
        <v>76</v>
      </c>
      <c r="C1034" s="49" t="s">
        <v>77</v>
      </c>
      <c r="D1034" s="49" t="s">
        <v>78</v>
      </c>
      <c r="E1034" s="159" t="s">
        <v>79</v>
      </c>
      <c r="F1034" s="159" t="s">
        <v>80</v>
      </c>
      <c r="G1034" s="159" t="s">
        <v>81</v>
      </c>
      <c r="H1034" s="45" t="s">
        <v>82</v>
      </c>
      <c r="I1034" s="168" t="s">
        <v>83</v>
      </c>
      <c r="J1034" s="242" t="s">
        <v>84</v>
      </c>
      <c r="K1034" s="242" t="s">
        <v>85</v>
      </c>
      <c r="L1034" s="49" t="s">
        <v>86</v>
      </c>
      <c r="M1034" s="204" t="s">
        <v>87</v>
      </c>
      <c r="N1034" s="159" t="s">
        <v>88</v>
      </c>
      <c r="O1034" s="159" t="s">
        <v>89</v>
      </c>
      <c r="P1034" s="159" t="s">
        <v>90</v>
      </c>
      <c r="Q1034" s="159" t="s">
        <v>91</v>
      </c>
      <c r="R1034" s="159" t="s">
        <v>92</v>
      </c>
      <c r="S1034" s="159" t="s">
        <v>964</v>
      </c>
      <c r="T1034" s="159" t="s">
        <v>15</v>
      </c>
    </row>
    <row r="1035" spans="1:20" s="19" customFormat="1" ht="60.75" customHeight="1" x14ac:dyDescent="0.3">
      <c r="A1035" s="155">
        <v>1</v>
      </c>
      <c r="B1035" s="156" t="s">
        <v>120</v>
      </c>
      <c r="C1035" s="156" t="s">
        <v>630</v>
      </c>
      <c r="D1035" s="157" t="s">
        <v>957</v>
      </c>
      <c r="E1035" s="158" t="s">
        <v>598</v>
      </c>
      <c r="F1035" s="159"/>
      <c r="G1035" s="325">
        <f t="shared" ref="G1035:G1045" si="107">2026-E1035</f>
        <v>17</v>
      </c>
      <c r="H1035" s="326" t="s">
        <v>95</v>
      </c>
      <c r="I1035" s="160">
        <f>5.4*5</f>
        <v>27</v>
      </c>
      <c r="J1035" s="140" t="s">
        <v>96</v>
      </c>
      <c r="K1035" s="142">
        <f>+I1035-J1035</f>
        <v>27</v>
      </c>
      <c r="L1035" s="161">
        <v>0.99199999999999999</v>
      </c>
      <c r="M1035" s="144">
        <v>249000</v>
      </c>
      <c r="N1035" s="145">
        <v>0.6</v>
      </c>
      <c r="O1035" s="144">
        <f>+M1035</f>
        <v>249000</v>
      </c>
      <c r="P1035" s="45">
        <f>+ROUND((K1035*L1035*O1035*N1035),-3)</f>
        <v>4002000</v>
      </c>
      <c r="Q1035" s="144" t="s">
        <v>97</v>
      </c>
      <c r="R1035" s="144" t="s">
        <v>97</v>
      </c>
      <c r="S1035" s="45">
        <f>P1035</f>
        <v>4002000</v>
      </c>
      <c r="T1035" s="138" t="s">
        <v>1035</v>
      </c>
    </row>
    <row r="1036" spans="1:20" s="19" customFormat="1" ht="98.25" customHeight="1" x14ac:dyDescent="0.3">
      <c r="A1036" s="155">
        <v>2</v>
      </c>
      <c r="B1036" s="156" t="s">
        <v>93</v>
      </c>
      <c r="C1036" s="156" t="s">
        <v>631</v>
      </c>
      <c r="D1036" s="157" t="s">
        <v>957</v>
      </c>
      <c r="E1036" s="158" t="s">
        <v>598</v>
      </c>
      <c r="F1036" s="159"/>
      <c r="G1036" s="325"/>
      <c r="H1036" s="326"/>
      <c r="I1036" s="160"/>
      <c r="J1036" s="140"/>
      <c r="K1036" s="142"/>
      <c r="L1036" s="161"/>
      <c r="M1036" s="144"/>
      <c r="N1036" s="145"/>
      <c r="O1036" s="144"/>
      <c r="P1036" s="45"/>
      <c r="Q1036" s="144"/>
      <c r="R1036" s="144"/>
      <c r="S1036" s="45"/>
      <c r="T1036" s="138"/>
    </row>
    <row r="1037" spans="1:20" s="19" customFormat="1" ht="40.5" customHeight="1" x14ac:dyDescent="0.3">
      <c r="A1037" s="164" t="s">
        <v>101</v>
      </c>
      <c r="B1037" s="156" t="s">
        <v>633</v>
      </c>
      <c r="C1037" s="156" t="s">
        <v>634</v>
      </c>
      <c r="D1037" s="157" t="s">
        <v>217</v>
      </c>
      <c r="E1037" s="158" t="s">
        <v>598</v>
      </c>
      <c r="F1037" s="159"/>
      <c r="G1037" s="325">
        <f t="shared" si="107"/>
        <v>17</v>
      </c>
      <c r="H1037" s="326" t="s">
        <v>95</v>
      </c>
      <c r="I1037" s="160">
        <f>0.2*0.1*3.9</f>
        <v>7.8000000000000014E-2</v>
      </c>
      <c r="J1037" s="140" t="s">
        <v>96</v>
      </c>
      <c r="K1037" s="142">
        <f t="shared" ref="K1037:K1045" si="108">+I1037-J1037</f>
        <v>7.8000000000000014E-2</v>
      </c>
      <c r="L1037" s="161">
        <v>0.99199999999999999</v>
      </c>
      <c r="M1037" s="144">
        <v>2446000</v>
      </c>
      <c r="N1037" s="145">
        <v>0.6</v>
      </c>
      <c r="O1037" s="144">
        <f>M1037</f>
        <v>2446000</v>
      </c>
      <c r="P1037" s="45">
        <f t="shared" ref="P1037:P1045" si="109">+ROUND((K1037*L1037*O1037*N1037),-3)</f>
        <v>114000</v>
      </c>
      <c r="Q1037" s="144" t="s">
        <v>97</v>
      </c>
      <c r="R1037" s="144" t="s">
        <v>97</v>
      </c>
      <c r="S1037" s="45">
        <f t="shared" ref="S1037:S1045" si="110">P1037</f>
        <v>114000</v>
      </c>
      <c r="T1037" s="138" t="s">
        <v>321</v>
      </c>
    </row>
    <row r="1038" spans="1:20" s="19" customFormat="1" ht="45" customHeight="1" x14ac:dyDescent="0.3">
      <c r="A1038" s="164" t="s">
        <v>101</v>
      </c>
      <c r="B1038" s="156" t="s">
        <v>93</v>
      </c>
      <c r="C1038" s="156" t="s">
        <v>635</v>
      </c>
      <c r="D1038" s="157" t="s">
        <v>241</v>
      </c>
      <c r="E1038" s="158" t="s">
        <v>598</v>
      </c>
      <c r="F1038" s="159"/>
      <c r="G1038" s="325">
        <f t="shared" si="107"/>
        <v>17</v>
      </c>
      <c r="H1038" s="326" t="s">
        <v>95</v>
      </c>
      <c r="I1038" s="160">
        <f>2.1*3.9</f>
        <v>8.19</v>
      </c>
      <c r="J1038" s="140" t="s">
        <v>96</v>
      </c>
      <c r="K1038" s="142">
        <f t="shared" si="108"/>
        <v>8.19</v>
      </c>
      <c r="L1038" s="161">
        <v>0.99199999999999999</v>
      </c>
      <c r="M1038" s="144">
        <v>134000</v>
      </c>
      <c r="N1038" s="145">
        <v>0.6</v>
      </c>
      <c r="O1038" s="144">
        <f>M1038</f>
        <v>134000</v>
      </c>
      <c r="P1038" s="45">
        <f t="shared" si="109"/>
        <v>653000</v>
      </c>
      <c r="Q1038" s="144" t="s">
        <v>97</v>
      </c>
      <c r="R1038" s="144" t="s">
        <v>97</v>
      </c>
      <c r="S1038" s="45">
        <f t="shared" si="110"/>
        <v>653000</v>
      </c>
      <c r="T1038" s="138" t="s">
        <v>386</v>
      </c>
    </row>
    <row r="1039" spans="1:20" s="19" customFormat="1" ht="51" customHeight="1" x14ac:dyDescent="0.3">
      <c r="A1039" s="164">
        <v>3</v>
      </c>
      <c r="B1039" s="156" t="s">
        <v>99</v>
      </c>
      <c r="C1039" s="156" t="s">
        <v>636</v>
      </c>
      <c r="D1039" s="157" t="s">
        <v>217</v>
      </c>
      <c r="E1039" s="158" t="s">
        <v>598</v>
      </c>
      <c r="F1039" s="159"/>
      <c r="G1039" s="325">
        <f t="shared" si="107"/>
        <v>17</v>
      </c>
      <c r="H1039" s="326" t="s">
        <v>95</v>
      </c>
      <c r="I1039" s="160">
        <f>0.2*0.2*2.3</f>
        <v>9.2000000000000012E-2</v>
      </c>
      <c r="J1039" s="140" t="s">
        <v>96</v>
      </c>
      <c r="K1039" s="142">
        <f t="shared" si="108"/>
        <v>9.2000000000000012E-2</v>
      </c>
      <c r="L1039" s="161">
        <v>0.99199999999999999</v>
      </c>
      <c r="M1039" s="144">
        <v>2556000</v>
      </c>
      <c r="N1039" s="145">
        <v>0.6</v>
      </c>
      <c r="O1039" s="144">
        <f>M1039</f>
        <v>2556000</v>
      </c>
      <c r="P1039" s="45">
        <f t="shared" si="109"/>
        <v>140000</v>
      </c>
      <c r="Q1039" s="144" t="s">
        <v>97</v>
      </c>
      <c r="R1039" s="144" t="s">
        <v>97</v>
      </c>
      <c r="S1039" s="45">
        <f t="shared" si="110"/>
        <v>140000</v>
      </c>
      <c r="T1039" s="138" t="s">
        <v>169</v>
      </c>
    </row>
    <row r="1040" spans="1:20" s="19" customFormat="1" ht="159.75" customHeight="1" x14ac:dyDescent="0.3">
      <c r="A1040" s="155">
        <v>4</v>
      </c>
      <c r="B1040" s="156" t="s">
        <v>93</v>
      </c>
      <c r="C1040" s="156" t="s">
        <v>976</v>
      </c>
      <c r="D1040" s="157" t="s">
        <v>957</v>
      </c>
      <c r="E1040" s="158" t="s">
        <v>598</v>
      </c>
      <c r="F1040" s="159"/>
      <c r="G1040" s="325">
        <f t="shared" si="107"/>
        <v>17</v>
      </c>
      <c r="H1040" s="326" t="s">
        <v>95</v>
      </c>
      <c r="I1040" s="160">
        <f>3*1.2</f>
        <v>3.5999999999999996</v>
      </c>
      <c r="J1040" s="140" t="s">
        <v>96</v>
      </c>
      <c r="K1040" s="142">
        <f t="shared" si="108"/>
        <v>3.5999999999999996</v>
      </c>
      <c r="L1040" s="161">
        <v>0.99199999999999999</v>
      </c>
      <c r="M1040" s="144">
        <v>1487000</v>
      </c>
      <c r="N1040" s="145">
        <v>0.6</v>
      </c>
      <c r="O1040" s="144">
        <f>M1040*80%*90%</f>
        <v>1070640</v>
      </c>
      <c r="P1040" s="45">
        <f t="shared" si="109"/>
        <v>2294000</v>
      </c>
      <c r="Q1040" s="144" t="s">
        <v>97</v>
      </c>
      <c r="R1040" s="144" t="s">
        <v>97</v>
      </c>
      <c r="S1040" s="45">
        <f t="shared" si="110"/>
        <v>2294000</v>
      </c>
      <c r="T1040" s="138" t="s">
        <v>632</v>
      </c>
    </row>
    <row r="1041" spans="1:20" s="19" customFormat="1" ht="32.25" customHeight="1" x14ac:dyDescent="0.3">
      <c r="A1041" s="155">
        <v>5</v>
      </c>
      <c r="B1041" s="156" t="s">
        <v>105</v>
      </c>
      <c r="C1041" s="156" t="s">
        <v>637</v>
      </c>
      <c r="D1041" s="157" t="s">
        <v>957</v>
      </c>
      <c r="E1041" s="158" t="s">
        <v>598</v>
      </c>
      <c r="F1041" s="159"/>
      <c r="G1041" s="325">
        <f t="shared" si="107"/>
        <v>17</v>
      </c>
      <c r="H1041" s="326" t="s">
        <v>95</v>
      </c>
      <c r="I1041" s="160">
        <f>5*2.3</f>
        <v>11.5</v>
      </c>
      <c r="J1041" s="140" t="s">
        <v>96</v>
      </c>
      <c r="K1041" s="142">
        <f t="shared" si="108"/>
        <v>11.5</v>
      </c>
      <c r="L1041" s="161">
        <v>0.99199999999999999</v>
      </c>
      <c r="M1041" s="144">
        <v>835000</v>
      </c>
      <c r="N1041" s="145">
        <v>0.6</v>
      </c>
      <c r="O1041" s="144">
        <f>+M1041</f>
        <v>835000</v>
      </c>
      <c r="P1041" s="45">
        <f t="shared" si="109"/>
        <v>5715000</v>
      </c>
      <c r="Q1041" s="144" t="s">
        <v>97</v>
      </c>
      <c r="R1041" s="144" t="s">
        <v>97</v>
      </c>
      <c r="S1041" s="45">
        <f t="shared" si="110"/>
        <v>5715000</v>
      </c>
      <c r="T1041" s="138" t="s">
        <v>174</v>
      </c>
    </row>
    <row r="1042" spans="1:20" s="19" customFormat="1" ht="65.25" customHeight="1" x14ac:dyDescent="0.3">
      <c r="A1042" s="155">
        <v>6</v>
      </c>
      <c r="B1042" s="156" t="s">
        <v>99</v>
      </c>
      <c r="C1042" s="156" t="s">
        <v>638</v>
      </c>
      <c r="D1042" s="157" t="s">
        <v>958</v>
      </c>
      <c r="E1042" s="158" t="s">
        <v>598</v>
      </c>
      <c r="F1042" s="159"/>
      <c r="G1042" s="325">
        <f t="shared" si="107"/>
        <v>17</v>
      </c>
      <c r="H1042" s="326" t="s">
        <v>95</v>
      </c>
      <c r="I1042" s="160">
        <f>(0.4*0.4*2.3)*2</f>
        <v>0.7360000000000001</v>
      </c>
      <c r="J1042" s="140" t="s">
        <v>96</v>
      </c>
      <c r="K1042" s="142">
        <f t="shared" si="108"/>
        <v>0.7360000000000001</v>
      </c>
      <c r="L1042" s="161">
        <v>0.99199999999999999</v>
      </c>
      <c r="M1042" s="144">
        <v>2556000</v>
      </c>
      <c r="N1042" s="145">
        <v>0.6</v>
      </c>
      <c r="O1042" s="144">
        <f>+M1042</f>
        <v>2556000</v>
      </c>
      <c r="P1042" s="45">
        <f t="shared" si="109"/>
        <v>1120000</v>
      </c>
      <c r="Q1042" s="144" t="s">
        <v>97</v>
      </c>
      <c r="R1042" s="144" t="s">
        <v>97</v>
      </c>
      <c r="S1042" s="45">
        <f t="shared" si="110"/>
        <v>1120000</v>
      </c>
      <c r="T1042" s="138" t="s">
        <v>169</v>
      </c>
    </row>
    <row r="1043" spans="1:20" s="19" customFormat="1" ht="42.75" customHeight="1" x14ac:dyDescent="0.3">
      <c r="A1043" s="155">
        <v>7</v>
      </c>
      <c r="B1043" s="156" t="s">
        <v>639</v>
      </c>
      <c r="C1043" s="156" t="s">
        <v>640</v>
      </c>
      <c r="D1043" s="157" t="s">
        <v>958</v>
      </c>
      <c r="E1043" s="158" t="s">
        <v>598</v>
      </c>
      <c r="F1043" s="159"/>
      <c r="G1043" s="325">
        <f t="shared" si="107"/>
        <v>17</v>
      </c>
      <c r="H1043" s="326" t="s">
        <v>95</v>
      </c>
      <c r="I1043" s="160">
        <f>1.6*0.75*0.05</f>
        <v>6.0000000000000012E-2</v>
      </c>
      <c r="J1043" s="140" t="s">
        <v>96</v>
      </c>
      <c r="K1043" s="142">
        <f t="shared" si="108"/>
        <v>6.0000000000000012E-2</v>
      </c>
      <c r="L1043" s="161">
        <v>0.99199999999999999</v>
      </c>
      <c r="M1043" s="144">
        <v>6270000</v>
      </c>
      <c r="N1043" s="145">
        <v>0.6</v>
      </c>
      <c r="O1043" s="144">
        <f>+M1043</f>
        <v>6270000</v>
      </c>
      <c r="P1043" s="45">
        <f t="shared" si="109"/>
        <v>224000</v>
      </c>
      <c r="Q1043" s="144" t="s">
        <v>97</v>
      </c>
      <c r="R1043" s="144" t="s">
        <v>97</v>
      </c>
      <c r="S1043" s="45">
        <f t="shared" si="110"/>
        <v>224000</v>
      </c>
      <c r="T1043" s="138" t="s">
        <v>318</v>
      </c>
    </row>
    <row r="1044" spans="1:20" s="19" customFormat="1" ht="64.5" customHeight="1" x14ac:dyDescent="0.3">
      <c r="A1044" s="155">
        <v>8</v>
      </c>
      <c r="B1044" s="156" t="s">
        <v>113</v>
      </c>
      <c r="C1044" s="156" t="s">
        <v>641</v>
      </c>
      <c r="D1044" s="157" t="s">
        <v>957</v>
      </c>
      <c r="E1044" s="158" t="s">
        <v>598</v>
      </c>
      <c r="F1044" s="159"/>
      <c r="G1044" s="325">
        <f t="shared" si="107"/>
        <v>17</v>
      </c>
      <c r="H1044" s="326" t="s">
        <v>95</v>
      </c>
      <c r="I1044" s="160">
        <f>1.4*5</f>
        <v>7</v>
      </c>
      <c r="J1044" s="140" t="s">
        <v>96</v>
      </c>
      <c r="K1044" s="142">
        <f t="shared" si="108"/>
        <v>7</v>
      </c>
      <c r="L1044" s="161">
        <v>0.99199999999999999</v>
      </c>
      <c r="M1044" s="144">
        <v>418000</v>
      </c>
      <c r="N1044" s="145">
        <v>0.6</v>
      </c>
      <c r="O1044" s="144">
        <f>+M1044</f>
        <v>418000</v>
      </c>
      <c r="P1044" s="45">
        <f t="shared" si="109"/>
        <v>1742000</v>
      </c>
      <c r="Q1044" s="144" t="s">
        <v>97</v>
      </c>
      <c r="R1044" s="144" t="s">
        <v>97</v>
      </c>
      <c r="S1044" s="45">
        <f t="shared" si="110"/>
        <v>1742000</v>
      </c>
      <c r="T1044" s="138" t="s">
        <v>211</v>
      </c>
    </row>
    <row r="1045" spans="1:20" s="19" customFormat="1" ht="63.75" customHeight="1" x14ac:dyDescent="0.3">
      <c r="A1045" s="155">
        <v>9</v>
      </c>
      <c r="B1045" s="156" t="s">
        <v>488</v>
      </c>
      <c r="C1045" s="156" t="s">
        <v>642</v>
      </c>
      <c r="D1045" s="157" t="s">
        <v>958</v>
      </c>
      <c r="E1045" s="158" t="s">
        <v>598</v>
      </c>
      <c r="F1045" s="159"/>
      <c r="G1045" s="325">
        <f t="shared" si="107"/>
        <v>17</v>
      </c>
      <c r="H1045" s="326" t="s">
        <v>95</v>
      </c>
      <c r="I1045" s="160">
        <f>4.5*0.1*0.2</f>
        <v>9.0000000000000011E-2</v>
      </c>
      <c r="J1045" s="140" t="s">
        <v>96</v>
      </c>
      <c r="K1045" s="142">
        <f t="shared" si="108"/>
        <v>9.0000000000000011E-2</v>
      </c>
      <c r="L1045" s="161">
        <v>0.99199999999999999</v>
      </c>
      <c r="M1045" s="144">
        <v>2446000</v>
      </c>
      <c r="N1045" s="145">
        <v>0.6</v>
      </c>
      <c r="O1045" s="144">
        <f>+M1045</f>
        <v>2446000</v>
      </c>
      <c r="P1045" s="45">
        <f t="shared" si="109"/>
        <v>131000</v>
      </c>
      <c r="Q1045" s="144" t="s">
        <v>97</v>
      </c>
      <c r="R1045" s="144" t="s">
        <v>97</v>
      </c>
      <c r="S1045" s="45">
        <f t="shared" si="110"/>
        <v>131000</v>
      </c>
      <c r="T1045" s="517" t="s">
        <v>1062</v>
      </c>
    </row>
    <row r="1046" spans="1:20" s="19" customFormat="1" ht="27" customHeight="1" x14ac:dyDescent="0.3">
      <c r="A1046" s="165"/>
      <c r="B1046" s="166" t="s">
        <v>55</v>
      </c>
      <c r="C1046" s="166"/>
      <c r="D1046" s="157"/>
      <c r="E1046" s="158"/>
      <c r="F1046" s="167"/>
      <c r="G1046" s="167"/>
      <c r="H1046" s="167"/>
      <c r="I1046" s="168"/>
      <c r="J1046" s="167"/>
      <c r="K1046" s="167"/>
      <c r="L1046" s="167"/>
      <c r="M1046" s="167"/>
      <c r="N1046" s="167"/>
      <c r="O1046" s="167"/>
      <c r="P1046" s="167"/>
      <c r="Q1046" s="167"/>
      <c r="R1046" s="167"/>
      <c r="S1046" s="45">
        <f>SUM(S1035:S1045)</f>
        <v>16135000</v>
      </c>
      <c r="T1046" s="167"/>
    </row>
    <row r="1047" spans="1:20" s="19" customFormat="1" ht="30" customHeight="1" x14ac:dyDescent="0.3">
      <c r="A1047" s="171" t="s">
        <v>131</v>
      </c>
      <c r="B1047" s="172" t="s">
        <v>132</v>
      </c>
      <c r="C1047" s="173"/>
      <c r="D1047" s="466"/>
      <c r="E1047" s="466"/>
      <c r="F1047" s="466"/>
      <c r="G1047" s="466"/>
      <c r="H1047" s="466"/>
      <c r="I1047" s="467"/>
      <c r="J1047" s="466"/>
      <c r="K1047" s="468"/>
      <c r="L1047" s="468"/>
      <c r="M1047" s="466"/>
      <c r="N1047" s="468"/>
      <c r="O1047" s="466"/>
      <c r="P1047" s="469"/>
      <c r="Q1047" s="466"/>
      <c r="R1047" s="466"/>
      <c r="S1047" s="470"/>
      <c r="T1047" s="466"/>
    </row>
    <row r="1048" spans="1:20" s="19" customFormat="1" ht="30" customHeight="1" x14ac:dyDescent="0.3">
      <c r="A1048" s="171" t="s">
        <v>133</v>
      </c>
      <c r="B1048" s="172" t="s">
        <v>134</v>
      </c>
      <c r="C1048" s="174"/>
      <c r="D1048" s="174"/>
      <c r="E1048" s="174"/>
      <c r="F1048" s="174"/>
      <c r="G1048" s="174"/>
      <c r="H1048" s="174"/>
      <c r="I1048" s="175"/>
      <c r="J1048" s="174"/>
      <c r="K1048" s="176"/>
      <c r="L1048" s="176"/>
      <c r="M1048" s="174"/>
      <c r="N1048" s="176"/>
      <c r="O1048" s="174"/>
      <c r="P1048" s="177"/>
      <c r="Q1048" s="174"/>
      <c r="R1048" s="174"/>
      <c r="S1048" s="174"/>
      <c r="T1048" s="174"/>
    </row>
    <row r="1049" spans="1:20" s="19" customFormat="1" ht="30" customHeight="1" x14ac:dyDescent="0.3">
      <c r="A1049" s="178" t="s">
        <v>135</v>
      </c>
      <c r="B1049" s="756" t="s">
        <v>643</v>
      </c>
      <c r="C1049" s="757"/>
      <c r="D1049" s="757"/>
      <c r="E1049" s="757"/>
      <c r="F1049" s="757"/>
      <c r="G1049" s="757"/>
      <c r="H1049" s="757"/>
      <c r="I1049" s="757"/>
      <c r="J1049" s="757"/>
      <c r="K1049" s="757"/>
      <c r="L1049" s="757"/>
      <c r="M1049" s="757"/>
      <c r="N1049" s="757"/>
      <c r="O1049" s="757"/>
      <c r="P1049" s="757"/>
      <c r="Q1049" s="757"/>
      <c r="R1049" s="758"/>
      <c r="S1049" s="29">
        <f>+S1046</f>
        <v>16135000</v>
      </c>
      <c r="T1049" s="174" t="s">
        <v>137</v>
      </c>
    </row>
    <row r="1050" spans="1:20" ht="18.75" x14ac:dyDescent="0.3">
      <c r="A1050" s="306"/>
      <c r="B1050" s="759" t="s">
        <v>755</v>
      </c>
      <c r="C1050" s="759"/>
      <c r="D1050" s="306"/>
      <c r="E1050" s="68"/>
    </row>
    <row r="1051" spans="1:20" ht="42.75" customHeight="1" x14ac:dyDescent="0.3">
      <c r="A1051" s="35">
        <v>1</v>
      </c>
      <c r="B1051" s="22" t="s">
        <v>644</v>
      </c>
      <c r="C1051" s="36">
        <v>28</v>
      </c>
      <c r="D1051" s="21" t="s">
        <v>645</v>
      </c>
      <c r="E1051" s="20"/>
      <c r="F1051" s="20"/>
      <c r="G1051" s="20"/>
      <c r="H1051" s="20"/>
      <c r="I1051" s="130"/>
      <c r="J1051" s="20"/>
      <c r="K1051" s="20"/>
      <c r="L1051" s="20"/>
      <c r="M1051" s="20"/>
      <c r="N1051" s="20"/>
      <c r="O1051" s="20"/>
      <c r="P1051" s="20"/>
      <c r="Q1051" s="20"/>
      <c r="R1051" s="20"/>
      <c r="S1051" s="20"/>
      <c r="T1051" s="20"/>
    </row>
    <row r="1052" spans="1:20" ht="18.75" customHeight="1" x14ac:dyDescent="0.3">
      <c r="A1052" s="37">
        <v>2</v>
      </c>
      <c r="B1052" s="23" t="s">
        <v>646</v>
      </c>
      <c r="C1052" s="38">
        <f>C1054+C1060</f>
        <v>841740000</v>
      </c>
      <c r="D1052" s="39" t="s">
        <v>647</v>
      </c>
      <c r="E1052" s="20"/>
      <c r="F1052" s="20"/>
      <c r="G1052" s="20"/>
      <c r="H1052" s="20"/>
      <c r="I1052" s="130"/>
      <c r="J1052" s="20"/>
      <c r="K1052" s="20"/>
      <c r="L1052" s="20"/>
      <c r="M1052" s="20"/>
      <c r="N1052" s="20"/>
      <c r="O1052" s="20"/>
      <c r="P1052" s="20"/>
      <c r="Q1052" s="20"/>
      <c r="R1052" s="20"/>
      <c r="S1052" s="20"/>
      <c r="T1052" s="20"/>
    </row>
    <row r="1053" spans="1:20" ht="18" customHeight="1" x14ac:dyDescent="0.3">
      <c r="A1053" s="40"/>
      <c r="B1053" s="41" t="s">
        <v>648</v>
      </c>
      <c r="C1053" s="42"/>
      <c r="D1053" s="39"/>
      <c r="E1053" s="20"/>
      <c r="F1053" s="20"/>
      <c r="G1053" s="20"/>
      <c r="H1053" s="20"/>
      <c r="I1053" s="130"/>
      <c r="J1053" s="20"/>
      <c r="K1053" s="20"/>
      <c r="L1053" s="20"/>
      <c r="M1053" s="20"/>
      <c r="N1053" s="20"/>
      <c r="O1053" s="20"/>
      <c r="P1053" s="20"/>
      <c r="Q1053" s="20"/>
      <c r="R1053" s="20"/>
      <c r="S1053" s="20"/>
      <c r="T1053" s="20"/>
    </row>
    <row r="1054" spans="1:20" ht="56.25" x14ac:dyDescent="0.3">
      <c r="A1054" s="43" t="s">
        <v>736</v>
      </c>
      <c r="B1054" s="44" t="s">
        <v>649</v>
      </c>
      <c r="C1054" s="45">
        <f>SUM(C1055:C1059)</f>
        <v>823620000</v>
      </c>
      <c r="D1054" s="46" t="s">
        <v>647</v>
      </c>
      <c r="E1054" s="20"/>
      <c r="F1054" s="20"/>
      <c r="G1054" s="20"/>
      <c r="H1054" s="20"/>
      <c r="I1054" s="130"/>
      <c r="J1054" s="20"/>
      <c r="K1054" s="20"/>
      <c r="L1054" s="20"/>
      <c r="M1054" s="20"/>
      <c r="N1054" s="20"/>
      <c r="O1054" s="20"/>
      <c r="P1054" s="20"/>
      <c r="Q1054" s="20"/>
      <c r="R1054" s="20"/>
      <c r="S1054" s="20"/>
      <c r="T1054" s="20"/>
    </row>
    <row r="1055" spans="1:20" ht="18.75" customHeight="1" x14ac:dyDescent="0.3">
      <c r="A1055" s="47" t="s">
        <v>650</v>
      </c>
      <c r="B1055" s="48" t="s">
        <v>651</v>
      </c>
      <c r="C1055" s="45">
        <v>0</v>
      </c>
      <c r="D1055" s="46" t="s">
        <v>647</v>
      </c>
      <c r="E1055" s="20"/>
      <c r="F1055" s="20"/>
      <c r="G1055" s="20"/>
      <c r="H1055" s="20"/>
      <c r="I1055" s="130"/>
      <c r="J1055" s="20"/>
      <c r="K1055" s="20"/>
      <c r="L1055" s="20"/>
      <c r="M1055" s="20"/>
      <c r="N1055" s="20"/>
      <c r="O1055" s="20"/>
      <c r="P1055" s="20"/>
      <c r="Q1055" s="20"/>
      <c r="R1055" s="20"/>
      <c r="S1055" s="20"/>
      <c r="T1055" s="20"/>
    </row>
    <row r="1056" spans="1:20" ht="18.75" customHeight="1" x14ac:dyDescent="0.3">
      <c r="A1056" s="47" t="s">
        <v>97</v>
      </c>
      <c r="B1056" s="48" t="s">
        <v>652</v>
      </c>
      <c r="C1056" s="49">
        <v>0</v>
      </c>
      <c r="D1056" s="46" t="s">
        <v>647</v>
      </c>
      <c r="E1056" s="20"/>
      <c r="F1056" s="20"/>
      <c r="G1056" s="20"/>
      <c r="H1056" s="20"/>
      <c r="I1056" s="130"/>
      <c r="J1056" s="20"/>
      <c r="K1056" s="20"/>
      <c r="L1056" s="20"/>
      <c r="M1056" s="20"/>
      <c r="N1056" s="20"/>
      <c r="O1056" s="20"/>
      <c r="P1056" s="20"/>
      <c r="Q1056" s="20"/>
      <c r="R1056" s="20"/>
      <c r="S1056" s="20"/>
      <c r="T1056" s="20"/>
    </row>
    <row r="1057" spans="1:20" ht="18.75" customHeight="1" x14ac:dyDescent="0.3">
      <c r="A1057" s="47" t="s">
        <v>653</v>
      </c>
      <c r="B1057" s="48" t="s">
        <v>654</v>
      </c>
      <c r="C1057" s="45">
        <f>S14+S56+S114+S165+S253+S339+S439+S471+S502+S545+S673+S719+S800+S836+S949+S986</f>
        <v>41639000</v>
      </c>
      <c r="D1057" s="46" t="s">
        <v>647</v>
      </c>
      <c r="E1057" s="20"/>
      <c r="F1057" s="20"/>
      <c r="G1057" s="20"/>
      <c r="H1057" s="20"/>
      <c r="I1057" s="130"/>
      <c r="J1057" s="20"/>
      <c r="K1057" s="20"/>
      <c r="L1057" s="20"/>
      <c r="M1057" s="20"/>
      <c r="N1057" s="20"/>
      <c r="O1057" s="20"/>
      <c r="P1057" s="20"/>
      <c r="Q1057" s="20"/>
      <c r="R1057" s="20"/>
      <c r="S1057" s="20"/>
      <c r="T1057" s="20"/>
    </row>
    <row r="1058" spans="1:20" ht="18.75" customHeight="1" x14ac:dyDescent="0.3">
      <c r="A1058" s="50" t="s">
        <v>655</v>
      </c>
      <c r="B1058" s="48" t="s">
        <v>656</v>
      </c>
      <c r="C1058" s="45">
        <f>S37+S96+S147+S206+S236+S290+S322+S371+S397+S422+S454+S485+S527+S561+S601+S625+S656+S701+S757+S783+S819+S868+S897+S932+S969+S1012+S1046</f>
        <v>781981000</v>
      </c>
      <c r="D1058" s="46" t="s">
        <v>647</v>
      </c>
      <c r="E1058" s="20"/>
      <c r="F1058" s="20"/>
      <c r="G1058" s="20"/>
      <c r="H1058" s="20"/>
      <c r="I1058" s="130"/>
      <c r="J1058" s="20"/>
      <c r="K1058" s="20"/>
      <c r="L1058" s="20"/>
      <c r="M1058" s="20"/>
      <c r="N1058" s="20"/>
      <c r="O1058" s="20"/>
      <c r="P1058" s="20"/>
      <c r="Q1058" s="20"/>
      <c r="R1058" s="20"/>
      <c r="S1058" s="20"/>
      <c r="T1058" s="20"/>
    </row>
    <row r="1059" spans="1:20" ht="18.75" customHeight="1" x14ac:dyDescent="0.3">
      <c r="A1059" s="47" t="s">
        <v>657</v>
      </c>
      <c r="B1059" s="48" t="s">
        <v>658</v>
      </c>
      <c r="C1059" s="49">
        <v>0</v>
      </c>
      <c r="D1059" s="46" t="s">
        <v>647</v>
      </c>
      <c r="E1059" s="20"/>
      <c r="F1059" s="20"/>
      <c r="G1059" s="20"/>
      <c r="H1059" s="20"/>
      <c r="I1059" s="130"/>
      <c r="J1059" s="20"/>
      <c r="K1059" s="20"/>
      <c r="L1059" s="20"/>
      <c r="M1059" s="20"/>
      <c r="N1059" s="20"/>
      <c r="O1059" s="20"/>
      <c r="P1059" s="20"/>
      <c r="Q1059" s="20"/>
      <c r="R1059" s="20"/>
      <c r="S1059" s="20"/>
      <c r="T1059" s="20"/>
    </row>
    <row r="1060" spans="1:20" ht="66" customHeight="1" x14ac:dyDescent="0.3">
      <c r="A1060" s="43" t="s">
        <v>735</v>
      </c>
      <c r="B1060" s="24" t="s">
        <v>659</v>
      </c>
      <c r="C1060" s="45">
        <f>ROUND((C1054*2.2%),-3)</f>
        <v>18120000</v>
      </c>
      <c r="D1060" s="46" t="s">
        <v>647</v>
      </c>
      <c r="E1060" s="20"/>
      <c r="F1060" s="20"/>
      <c r="G1060" s="20"/>
      <c r="H1060" s="20"/>
      <c r="I1060" s="130"/>
      <c r="J1060" s="20"/>
      <c r="K1060" s="20"/>
      <c r="L1060" s="20"/>
      <c r="M1060" s="20"/>
      <c r="N1060" s="20"/>
      <c r="O1060" s="20"/>
      <c r="P1060" s="20"/>
      <c r="Q1060" s="20"/>
      <c r="R1060" s="20"/>
      <c r="S1060" s="20"/>
      <c r="T1060" s="20"/>
    </row>
    <row r="1061" spans="1:20" ht="18.75" x14ac:dyDescent="0.3">
      <c r="A1061" s="19"/>
      <c r="B1061" s="20"/>
      <c r="C1061" s="20"/>
      <c r="D1061" s="20"/>
      <c r="E1061" s="20"/>
      <c r="F1061" s="20"/>
      <c r="G1061" s="20"/>
      <c r="H1061" s="20"/>
      <c r="I1061" s="130"/>
      <c r="J1061" s="20"/>
      <c r="K1061" s="20"/>
      <c r="L1061" s="20"/>
      <c r="M1061" s="20"/>
      <c r="N1061" s="20"/>
      <c r="O1061" s="20"/>
      <c r="P1061" s="20"/>
      <c r="Q1061" s="20"/>
      <c r="R1061" s="20"/>
      <c r="S1061" s="20"/>
      <c r="T1061" s="20"/>
    </row>
    <row r="1062" spans="1:20" ht="18.75" customHeight="1" x14ac:dyDescent="0.3">
      <c r="A1062" s="19"/>
      <c r="B1062" s="20"/>
      <c r="C1062" s="20"/>
      <c r="D1062" s="20"/>
      <c r="E1062" s="20"/>
      <c r="F1062" s="20"/>
      <c r="G1062" s="20"/>
      <c r="H1062" s="20"/>
      <c r="I1062" s="130"/>
      <c r="J1062" s="20"/>
      <c r="K1062" s="20"/>
      <c r="L1062" s="20"/>
      <c r="M1062" s="20"/>
      <c r="N1062" s="20"/>
      <c r="O1062" s="20"/>
      <c r="P1062" s="20"/>
      <c r="Q1062" s="20"/>
      <c r="R1062" s="20"/>
      <c r="S1062" s="20"/>
      <c r="T1062" s="20"/>
    </row>
    <row r="1063" spans="1:20" ht="18.75" customHeight="1" x14ac:dyDescent="0.3">
      <c r="A1063" s="19"/>
      <c r="B1063" s="20"/>
      <c r="C1063" s="20"/>
      <c r="D1063" s="20"/>
      <c r="E1063" s="20"/>
      <c r="F1063" s="20"/>
      <c r="G1063" s="20"/>
      <c r="H1063" s="20"/>
      <c r="I1063" s="130"/>
      <c r="J1063" s="20"/>
      <c r="K1063" s="20"/>
      <c r="L1063" s="20"/>
      <c r="M1063" s="20"/>
      <c r="N1063" s="20"/>
      <c r="O1063" s="20"/>
      <c r="P1063" s="20"/>
      <c r="Q1063" s="20"/>
      <c r="R1063" s="20"/>
      <c r="S1063" s="20"/>
      <c r="T1063" s="20"/>
    </row>
    <row r="1064" spans="1:20" ht="18.75" customHeight="1" x14ac:dyDescent="0.3">
      <c r="A1064" s="19"/>
      <c r="B1064" s="20"/>
      <c r="C1064" s="20"/>
      <c r="D1064" s="20"/>
      <c r="E1064" s="20"/>
      <c r="F1064" s="20"/>
      <c r="G1064" s="20"/>
      <c r="H1064" s="20"/>
      <c r="I1064" s="130"/>
      <c r="J1064" s="20"/>
      <c r="K1064" s="20"/>
      <c r="L1064" s="20"/>
      <c r="M1064" s="20"/>
      <c r="N1064" s="20"/>
      <c r="O1064" s="20"/>
      <c r="P1064" s="20"/>
      <c r="Q1064" s="20"/>
      <c r="R1064" s="20"/>
      <c r="S1064" s="20"/>
      <c r="T1064" s="20"/>
    </row>
    <row r="1065" spans="1:20" ht="18.75" customHeight="1" x14ac:dyDescent="0.3">
      <c r="A1065" s="19"/>
      <c r="B1065" s="20"/>
      <c r="C1065" s="20"/>
      <c r="D1065" s="20"/>
      <c r="E1065" s="20"/>
      <c r="F1065" s="20"/>
      <c r="G1065" s="20"/>
      <c r="H1065" s="20"/>
      <c r="I1065" s="130"/>
      <c r="J1065" s="20"/>
      <c r="K1065" s="20"/>
      <c r="L1065" s="20"/>
      <c r="M1065" s="20"/>
      <c r="N1065" s="20"/>
      <c r="O1065" s="20"/>
      <c r="P1065" s="20"/>
      <c r="Q1065" s="20"/>
      <c r="R1065" s="20"/>
      <c r="S1065" s="20"/>
      <c r="T1065" s="20"/>
    </row>
    <row r="1066" spans="1:20" ht="18.75" customHeight="1" x14ac:dyDescent="0.3">
      <c r="A1066" s="19"/>
      <c r="B1066" s="20"/>
      <c r="C1066" s="20"/>
      <c r="D1066" s="20"/>
      <c r="E1066" s="20"/>
      <c r="F1066" s="20"/>
      <c r="G1066" s="20"/>
      <c r="H1066" s="20"/>
      <c r="I1066" s="130"/>
      <c r="J1066" s="20"/>
      <c r="K1066" s="20"/>
      <c r="L1066" s="20"/>
      <c r="M1066" s="20"/>
      <c r="N1066" s="20"/>
      <c r="O1066" s="20"/>
      <c r="P1066" s="20"/>
      <c r="Q1066" s="20"/>
      <c r="R1066" s="20"/>
      <c r="S1066" s="20"/>
      <c r="T1066" s="20"/>
    </row>
    <row r="1067" spans="1:20" ht="18.75" customHeight="1" x14ac:dyDescent="0.3">
      <c r="A1067" s="19"/>
      <c r="B1067" s="20"/>
      <c r="C1067" s="20"/>
      <c r="D1067" s="20"/>
      <c r="E1067" s="20"/>
      <c r="F1067" s="20"/>
      <c r="G1067" s="20"/>
      <c r="H1067" s="20"/>
      <c r="I1067" s="130"/>
      <c r="J1067" s="20"/>
      <c r="K1067" s="20"/>
      <c r="L1067" s="20"/>
      <c r="M1067" s="20"/>
      <c r="N1067" s="20"/>
      <c r="O1067" s="20"/>
      <c r="P1067" s="20"/>
      <c r="Q1067" s="20"/>
      <c r="R1067" s="20"/>
      <c r="S1067" s="20"/>
      <c r="T1067" s="20"/>
    </row>
    <row r="1068" spans="1:20" ht="18.75" customHeight="1" x14ac:dyDescent="0.3">
      <c r="A1068" s="19"/>
      <c r="B1068" s="20"/>
      <c r="C1068" s="20"/>
      <c r="D1068" s="20"/>
      <c r="E1068" s="20"/>
      <c r="F1068" s="20"/>
      <c r="G1068" s="20"/>
      <c r="H1068" s="20"/>
      <c r="I1068" s="130"/>
      <c r="J1068" s="20"/>
      <c r="K1068" s="20"/>
      <c r="L1068" s="20"/>
      <c r="M1068" s="20"/>
      <c r="N1068" s="20"/>
      <c r="O1068" s="20"/>
      <c r="P1068" s="20"/>
      <c r="Q1068" s="20"/>
      <c r="R1068" s="20"/>
      <c r="S1068" s="20"/>
      <c r="T1068" s="20"/>
    </row>
    <row r="1069" spans="1:20" ht="18.75" customHeight="1" x14ac:dyDescent="0.3">
      <c r="A1069" s="19"/>
      <c r="B1069" s="20"/>
      <c r="C1069" s="20"/>
      <c r="D1069" s="20"/>
      <c r="E1069" s="20"/>
      <c r="F1069" s="20"/>
      <c r="G1069" s="20"/>
      <c r="H1069" s="20"/>
      <c r="I1069" s="130"/>
      <c r="J1069" s="20"/>
      <c r="K1069" s="20"/>
      <c r="L1069" s="20"/>
      <c r="M1069" s="20"/>
      <c r="N1069" s="20"/>
      <c r="O1069" s="20"/>
      <c r="P1069" s="20"/>
      <c r="Q1069" s="20"/>
      <c r="R1069" s="20"/>
      <c r="S1069" s="20"/>
      <c r="T1069" s="20"/>
    </row>
    <row r="1070" spans="1:20" ht="18.75" customHeight="1" x14ac:dyDescent="0.3">
      <c r="A1070" s="19"/>
      <c r="B1070" s="20"/>
      <c r="C1070" s="20"/>
      <c r="D1070" s="20"/>
      <c r="E1070" s="20"/>
      <c r="F1070" s="20"/>
      <c r="G1070" s="20"/>
      <c r="H1070" s="20"/>
      <c r="I1070" s="130"/>
      <c r="J1070" s="20"/>
      <c r="K1070" s="20"/>
      <c r="L1070" s="20"/>
      <c r="M1070" s="20"/>
      <c r="N1070" s="20"/>
      <c r="O1070" s="20"/>
      <c r="P1070" s="20"/>
      <c r="Q1070" s="20"/>
      <c r="R1070" s="20"/>
      <c r="S1070" s="20"/>
      <c r="T1070" s="20"/>
    </row>
    <row r="1071" spans="1:20" ht="18.75" customHeight="1" x14ac:dyDescent="0.3">
      <c r="A1071" s="19"/>
      <c r="B1071" s="20"/>
      <c r="C1071" s="20"/>
      <c r="D1071" s="20"/>
      <c r="E1071" s="20"/>
      <c r="F1071" s="20"/>
      <c r="G1071" s="20"/>
      <c r="H1071" s="20"/>
      <c r="I1071" s="130"/>
      <c r="J1071" s="20"/>
      <c r="K1071" s="20"/>
      <c r="L1071" s="20"/>
      <c r="M1071" s="20"/>
      <c r="N1071" s="20"/>
      <c r="O1071" s="20"/>
      <c r="P1071" s="20"/>
      <c r="Q1071" s="20"/>
      <c r="R1071" s="20"/>
      <c r="S1071" s="20"/>
      <c r="T1071" s="20"/>
    </row>
    <row r="1072" spans="1:20" ht="18.75" customHeight="1" x14ac:dyDescent="0.3">
      <c r="A1072" s="19"/>
      <c r="B1072" s="20"/>
      <c r="C1072" s="20"/>
      <c r="D1072" s="20"/>
      <c r="E1072" s="20"/>
      <c r="F1072" s="20"/>
      <c r="G1072" s="20"/>
      <c r="H1072" s="20"/>
      <c r="I1072" s="130"/>
      <c r="J1072" s="20"/>
      <c r="K1072" s="20"/>
      <c r="L1072" s="20"/>
      <c r="M1072" s="20"/>
      <c r="N1072" s="20"/>
      <c r="O1072" s="20"/>
      <c r="P1072" s="20"/>
      <c r="Q1072" s="20"/>
      <c r="R1072" s="20"/>
      <c r="S1072" s="20"/>
      <c r="T1072" s="20"/>
    </row>
    <row r="1073" spans="1:20" ht="18.75" customHeight="1" x14ac:dyDescent="0.3">
      <c r="A1073" s="19"/>
      <c r="B1073" s="20"/>
      <c r="C1073" s="20"/>
      <c r="D1073" s="20"/>
      <c r="E1073" s="20"/>
      <c r="F1073" s="20"/>
      <c r="G1073" s="20"/>
      <c r="H1073" s="20"/>
      <c r="I1073" s="130"/>
      <c r="J1073" s="20"/>
      <c r="K1073" s="20"/>
      <c r="L1073" s="20"/>
      <c r="M1073" s="20"/>
      <c r="N1073" s="20"/>
      <c r="O1073" s="20"/>
      <c r="P1073" s="20"/>
      <c r="Q1073" s="20"/>
      <c r="R1073" s="20"/>
      <c r="S1073" s="20"/>
      <c r="T1073" s="20"/>
    </row>
    <row r="1074" spans="1:20" ht="18.75" customHeight="1" x14ac:dyDescent="0.3">
      <c r="A1074" s="19"/>
      <c r="B1074" s="20"/>
      <c r="C1074" s="20"/>
      <c r="D1074" s="20"/>
      <c r="E1074" s="20"/>
      <c r="F1074" s="20"/>
      <c r="G1074" s="20"/>
      <c r="H1074" s="20"/>
      <c r="I1074" s="130"/>
      <c r="J1074" s="20"/>
      <c r="K1074" s="20"/>
      <c r="L1074" s="20"/>
      <c r="M1074" s="20"/>
      <c r="N1074" s="20"/>
      <c r="O1074" s="20"/>
      <c r="P1074" s="20"/>
      <c r="Q1074" s="20"/>
      <c r="R1074" s="20"/>
      <c r="S1074" s="20"/>
      <c r="T1074" s="20"/>
    </row>
    <row r="1075" spans="1:20" ht="18.75" customHeight="1" x14ac:dyDescent="0.3">
      <c r="A1075" s="19"/>
      <c r="B1075" s="20"/>
      <c r="C1075" s="20"/>
      <c r="D1075" s="20"/>
      <c r="E1075" s="20"/>
      <c r="F1075" s="20"/>
      <c r="G1075" s="20"/>
      <c r="H1075" s="20"/>
      <c r="I1075" s="130"/>
      <c r="J1075" s="20"/>
      <c r="K1075" s="20"/>
      <c r="L1075" s="20"/>
      <c r="M1075" s="20"/>
      <c r="N1075" s="20"/>
      <c r="O1075" s="20"/>
      <c r="P1075" s="20"/>
      <c r="Q1075" s="20"/>
      <c r="R1075" s="20"/>
      <c r="S1075" s="20"/>
      <c r="T1075" s="20"/>
    </row>
    <row r="1076" spans="1:20" ht="18.75" customHeight="1" x14ac:dyDescent="0.3">
      <c r="A1076" s="19"/>
      <c r="B1076" s="20"/>
      <c r="C1076" s="20"/>
      <c r="D1076" s="20"/>
      <c r="E1076" s="20"/>
      <c r="F1076" s="20"/>
      <c r="G1076" s="20"/>
      <c r="H1076" s="20"/>
      <c r="I1076" s="130"/>
      <c r="J1076" s="20"/>
      <c r="K1076" s="20"/>
      <c r="L1076" s="20"/>
      <c r="M1076" s="20"/>
      <c r="N1076" s="20"/>
      <c r="O1076" s="20"/>
      <c r="P1076" s="20"/>
      <c r="Q1076" s="20"/>
      <c r="R1076" s="20"/>
      <c r="S1076" s="20"/>
      <c r="T1076" s="20"/>
    </row>
    <row r="1077" spans="1:20" ht="18.75" customHeight="1" x14ac:dyDescent="0.3">
      <c r="A1077" s="19"/>
      <c r="B1077" s="20"/>
      <c r="C1077" s="20"/>
      <c r="D1077" s="20"/>
      <c r="E1077" s="20"/>
      <c r="F1077" s="20"/>
      <c r="G1077" s="20"/>
      <c r="H1077" s="20"/>
      <c r="I1077" s="130"/>
      <c r="J1077" s="20"/>
      <c r="K1077" s="20"/>
      <c r="L1077" s="20"/>
      <c r="M1077" s="20"/>
      <c r="N1077" s="20"/>
      <c r="O1077" s="20"/>
      <c r="P1077" s="20"/>
      <c r="Q1077" s="20"/>
      <c r="R1077" s="20"/>
      <c r="S1077" s="20"/>
      <c r="T1077" s="20"/>
    </row>
    <row r="1078" spans="1:20" ht="18.75" customHeight="1" x14ac:dyDescent="0.3">
      <c r="A1078" s="19"/>
      <c r="B1078" s="20"/>
      <c r="C1078" s="20"/>
      <c r="D1078" s="20"/>
      <c r="E1078" s="20"/>
      <c r="F1078" s="20"/>
      <c r="G1078" s="20"/>
      <c r="H1078" s="20"/>
      <c r="I1078" s="130"/>
      <c r="J1078" s="20"/>
      <c r="K1078" s="20"/>
      <c r="L1078" s="20"/>
      <c r="M1078" s="20"/>
      <c r="N1078" s="20"/>
      <c r="O1078" s="20"/>
      <c r="P1078" s="20"/>
      <c r="Q1078" s="20"/>
      <c r="R1078" s="20"/>
      <c r="S1078" s="20"/>
      <c r="T1078" s="20"/>
    </row>
    <row r="1079" spans="1:20" ht="18.75" customHeight="1" x14ac:dyDescent="0.3">
      <c r="A1079" s="19"/>
      <c r="B1079" s="20"/>
      <c r="C1079" s="20"/>
      <c r="D1079" s="20"/>
      <c r="E1079" s="20"/>
      <c r="F1079" s="20"/>
      <c r="G1079" s="20"/>
      <c r="H1079" s="20"/>
      <c r="I1079" s="130"/>
      <c r="J1079" s="20"/>
      <c r="K1079" s="20"/>
      <c r="L1079" s="20"/>
      <c r="M1079" s="20"/>
      <c r="N1079" s="20"/>
      <c r="O1079" s="20"/>
      <c r="P1079" s="20"/>
      <c r="Q1079" s="20"/>
      <c r="R1079" s="20"/>
      <c r="S1079" s="20"/>
      <c r="T1079" s="20"/>
    </row>
  </sheetData>
  <autoFilter ref="A1:T1058"/>
  <mergeCells count="1844">
    <mergeCell ref="B973:S973"/>
    <mergeCell ref="B974:S974"/>
    <mergeCell ref="B1016:S1016"/>
    <mergeCell ref="B1017:S1017"/>
    <mergeCell ref="T112:T113"/>
    <mergeCell ref="T163:T164"/>
    <mergeCell ref="T911:T912"/>
    <mergeCell ref="T1026:T1027"/>
    <mergeCell ref="B489:S489"/>
    <mergeCell ref="H541:H542"/>
    <mergeCell ref="A511:A512"/>
    <mergeCell ref="B511:B512"/>
    <mergeCell ref="C511:C512"/>
    <mergeCell ref="D511:D512"/>
    <mergeCell ref="E511:E512"/>
    <mergeCell ref="F511:F512"/>
    <mergeCell ref="G511:G512"/>
    <mergeCell ref="H511:H512"/>
    <mergeCell ref="I511:M511"/>
    <mergeCell ref="N511:N512"/>
    <mergeCell ref="C575:C576"/>
    <mergeCell ref="Q575:Q576"/>
    <mergeCell ref="R575:R576"/>
    <mergeCell ref="N541:N542"/>
    <mergeCell ref="O541:O542"/>
    <mergeCell ref="P541:P542"/>
    <mergeCell ref="Q541:Q542"/>
    <mergeCell ref="R541:R542"/>
    <mergeCell ref="B575:B576"/>
    <mergeCell ref="B425:R425"/>
    <mergeCell ref="B426:S426"/>
    <mergeCell ref="B427:S427"/>
    <mergeCell ref="G450:G451"/>
    <mergeCell ref="H450:H451"/>
    <mergeCell ref="I450:M450"/>
    <mergeCell ref="N450:N451"/>
    <mergeCell ref="O450:O451"/>
    <mergeCell ref="P450:P451"/>
    <mergeCell ref="Q450:Q451"/>
    <mergeCell ref="R450:R451"/>
    <mergeCell ref="S450:S451"/>
    <mergeCell ref="B326:S326"/>
    <mergeCell ref="A336:A337"/>
    <mergeCell ref="B336:B337"/>
    <mergeCell ref="C336:C337"/>
    <mergeCell ref="D336:G336"/>
    <mergeCell ref="H336:H337"/>
    <mergeCell ref="I336:K336"/>
    <mergeCell ref="L336:M336"/>
    <mergeCell ref="N336:N337"/>
    <mergeCell ref="O336:O337"/>
    <mergeCell ref="P336:P337"/>
    <mergeCell ref="Q336:Q337"/>
    <mergeCell ref="R336:R337"/>
    <mergeCell ref="S336:S337"/>
    <mergeCell ref="A347:A348"/>
    <mergeCell ref="B347:B348"/>
    <mergeCell ref="S411:S412"/>
    <mergeCell ref="G331:I331"/>
    <mergeCell ref="J331:L331"/>
    <mergeCell ref="M331:M333"/>
    <mergeCell ref="N331:N333"/>
    <mergeCell ref="O331:O333"/>
    <mergeCell ref="P331:P333"/>
    <mergeCell ref="T411:T412"/>
    <mergeCell ref="H411:H412"/>
    <mergeCell ref="N411:N412"/>
    <mergeCell ref="O411:O412"/>
    <mergeCell ref="P411:P412"/>
    <mergeCell ref="T299:T301"/>
    <mergeCell ref="D300:D301"/>
    <mergeCell ref="E300:F300"/>
    <mergeCell ref="G300:G301"/>
    <mergeCell ref="H300:I300"/>
    <mergeCell ref="J300:J301"/>
    <mergeCell ref="K300:L300"/>
    <mergeCell ref="A304:A305"/>
    <mergeCell ref="B304:B305"/>
    <mergeCell ref="C304:C305"/>
    <mergeCell ref="D304:G304"/>
    <mergeCell ref="H304:H305"/>
    <mergeCell ref="I304:K304"/>
    <mergeCell ref="L304:M304"/>
    <mergeCell ref="S385:S386"/>
    <mergeCell ref="T385:T386"/>
    <mergeCell ref="H385:H386"/>
    <mergeCell ref="N385:N386"/>
    <mergeCell ref="O385:O386"/>
    <mergeCell ref="P385:P386"/>
    <mergeCell ref="B385:B386"/>
    <mergeCell ref="C385:C386"/>
    <mergeCell ref="B325:R325"/>
    <mergeCell ref="A331:A333"/>
    <mergeCell ref="B331:B333"/>
    <mergeCell ref="C331:C333"/>
    <mergeCell ref="D331:F331"/>
    <mergeCell ref="A261:A262"/>
    <mergeCell ref="B261:B262"/>
    <mergeCell ref="C261:C262"/>
    <mergeCell ref="D261:D262"/>
    <mergeCell ref="E261:E262"/>
    <mergeCell ref="F261:F262"/>
    <mergeCell ref="G261:G262"/>
    <mergeCell ref="S261:S262"/>
    <mergeCell ref="T261:T262"/>
    <mergeCell ref="H261:H262"/>
    <mergeCell ref="I261:M261"/>
    <mergeCell ref="N261:N262"/>
    <mergeCell ref="O261:O262"/>
    <mergeCell ref="P261:P262"/>
    <mergeCell ref="Q261:Q262"/>
    <mergeCell ref="R261:R262"/>
    <mergeCell ref="B294:S294"/>
    <mergeCell ref="B293:R293"/>
    <mergeCell ref="T245:T247"/>
    <mergeCell ref="G246:G247"/>
    <mergeCell ref="H246:I246"/>
    <mergeCell ref="J246:J247"/>
    <mergeCell ref="B239:R239"/>
    <mergeCell ref="B240:S240"/>
    <mergeCell ref="B241:S241"/>
    <mergeCell ref="B242:S242"/>
    <mergeCell ref="B243:S243"/>
    <mergeCell ref="S245:S247"/>
    <mergeCell ref="K246:L246"/>
    <mergeCell ref="T254:T255"/>
    <mergeCell ref="D254:D255"/>
    <mergeCell ref="E254:F254"/>
    <mergeCell ref="G254:G255"/>
    <mergeCell ref="H254:H255"/>
    <mergeCell ref="I254:J254"/>
    <mergeCell ref="K254:K255"/>
    <mergeCell ref="L254:L255"/>
    <mergeCell ref="B245:B247"/>
    <mergeCell ref="T250:T251"/>
    <mergeCell ref="A245:A247"/>
    <mergeCell ref="M254:M255"/>
    <mergeCell ref="N254:N255"/>
    <mergeCell ref="O254:O255"/>
    <mergeCell ref="P254:P255"/>
    <mergeCell ref="Q254:Q255"/>
    <mergeCell ref="R254:R255"/>
    <mergeCell ref="S254:S255"/>
    <mergeCell ref="C245:C247"/>
    <mergeCell ref="D245:F245"/>
    <mergeCell ref="D246:D247"/>
    <mergeCell ref="E246:F246"/>
    <mergeCell ref="A254:A255"/>
    <mergeCell ref="B254:B255"/>
    <mergeCell ref="C254:C255"/>
    <mergeCell ref="G245:I245"/>
    <mergeCell ref="J245:L245"/>
    <mergeCell ref="M245:M247"/>
    <mergeCell ref="N245:N247"/>
    <mergeCell ref="O245:O247"/>
    <mergeCell ref="P245:P247"/>
    <mergeCell ref="Q245:Q247"/>
    <mergeCell ref="R245:R247"/>
    <mergeCell ref="A215:A217"/>
    <mergeCell ref="B215:B217"/>
    <mergeCell ref="C215:C217"/>
    <mergeCell ref="M215:M217"/>
    <mergeCell ref="D216:D217"/>
    <mergeCell ref="G216:G217"/>
    <mergeCell ref="J216:J217"/>
    <mergeCell ref="D215:F215"/>
    <mergeCell ref="E216:F216"/>
    <mergeCell ref="A225:A226"/>
    <mergeCell ref="B225:B226"/>
    <mergeCell ref="C225:C226"/>
    <mergeCell ref="D225:D226"/>
    <mergeCell ref="E225:E226"/>
    <mergeCell ref="Q225:Q226"/>
    <mergeCell ref="R225:R226"/>
    <mergeCell ref="S225:S226"/>
    <mergeCell ref="I225:M225"/>
    <mergeCell ref="N225:N226"/>
    <mergeCell ref="O225:O226"/>
    <mergeCell ref="P225:P226"/>
    <mergeCell ref="F225:F226"/>
    <mergeCell ref="G225:G226"/>
    <mergeCell ref="H225:H226"/>
    <mergeCell ref="B213:S213"/>
    <mergeCell ref="N215:N217"/>
    <mergeCell ref="O215:O217"/>
    <mergeCell ref="P215:P217"/>
    <mergeCell ref="Q215:Q217"/>
    <mergeCell ref="R215:R217"/>
    <mergeCell ref="S215:S217"/>
    <mergeCell ref="S193:S194"/>
    <mergeCell ref="T215:T217"/>
    <mergeCell ref="G215:I215"/>
    <mergeCell ref="H216:I216"/>
    <mergeCell ref="J215:L215"/>
    <mergeCell ref="K216:L216"/>
    <mergeCell ref="H193:H194"/>
    <mergeCell ref="I193:M193"/>
    <mergeCell ref="N193:N194"/>
    <mergeCell ref="O193:O194"/>
    <mergeCell ref="P193:P194"/>
    <mergeCell ref="E193:E194"/>
    <mergeCell ref="B196:C196"/>
    <mergeCell ref="B198:C198"/>
    <mergeCell ref="B209:R209"/>
    <mergeCell ref="B210:S210"/>
    <mergeCell ref="B211:S211"/>
    <mergeCell ref="B1:S1"/>
    <mergeCell ref="B2:S2"/>
    <mergeCell ref="B3:S3"/>
    <mergeCell ref="B4:S4"/>
    <mergeCell ref="B43:S43"/>
    <mergeCell ref="B44:S44"/>
    <mergeCell ref="B45:S45"/>
    <mergeCell ref="B73:C73"/>
    <mergeCell ref="C105:C107"/>
    <mergeCell ref="M105:M107"/>
    <mergeCell ref="D106:D107"/>
    <mergeCell ref="G106:G107"/>
    <mergeCell ref="J106:J107"/>
    <mergeCell ref="B42:S42"/>
    <mergeCell ref="B85:C85"/>
    <mergeCell ref="P115:P116"/>
    <mergeCell ref="Q115:Q116"/>
    <mergeCell ref="R115:R116"/>
    <mergeCell ref="S115:S116"/>
    <mergeCell ref="D105:F105"/>
    <mergeCell ref="E106:F106"/>
    <mergeCell ref="B57:B58"/>
    <mergeCell ref="C57:C58"/>
    <mergeCell ref="D57:D58"/>
    <mergeCell ref="E57:F57"/>
    <mergeCell ref="G57:G58"/>
    <mergeCell ref="H57:H58"/>
    <mergeCell ref="I57:J57"/>
    <mergeCell ref="K57:K58"/>
    <mergeCell ref="L57:L58"/>
    <mergeCell ref="M57:M58"/>
    <mergeCell ref="N57:N58"/>
    <mergeCell ref="B135:C135"/>
    <mergeCell ref="F121:F122"/>
    <mergeCell ref="G121:G122"/>
    <mergeCell ref="S156:S158"/>
    <mergeCell ref="T156:T158"/>
    <mergeCell ref="G156:I156"/>
    <mergeCell ref="H157:I157"/>
    <mergeCell ref="J156:L156"/>
    <mergeCell ref="K157:L157"/>
    <mergeCell ref="M156:M158"/>
    <mergeCell ref="D157:D158"/>
    <mergeCell ref="G157:G158"/>
    <mergeCell ref="G105:I105"/>
    <mergeCell ref="H106:I106"/>
    <mergeCell ref="J105:L105"/>
    <mergeCell ref="K106:L106"/>
    <mergeCell ref="A105:A107"/>
    <mergeCell ref="B105:B107"/>
    <mergeCell ref="T105:T107"/>
    <mergeCell ref="S121:S122"/>
    <mergeCell ref="T121:T122"/>
    <mergeCell ref="H121:H122"/>
    <mergeCell ref="I121:M121"/>
    <mergeCell ref="N121:N122"/>
    <mergeCell ref="O121:O122"/>
    <mergeCell ref="P121:P122"/>
    <mergeCell ref="Q121:Q122"/>
    <mergeCell ref="R121:R122"/>
    <mergeCell ref="O115:O116"/>
    <mergeCell ref="N105:N107"/>
    <mergeCell ref="O105:O107"/>
    <mergeCell ref="P105:P107"/>
    <mergeCell ref="A110:A111"/>
    <mergeCell ref="B110:B111"/>
    <mergeCell ref="C110:C111"/>
    <mergeCell ref="D110:G110"/>
    <mergeCell ref="H110:H111"/>
    <mergeCell ref="I110:K110"/>
    <mergeCell ref="L110:M110"/>
    <mergeCell ref="N110:N111"/>
    <mergeCell ref="O110:O111"/>
    <mergeCell ref="P110:P111"/>
    <mergeCell ref="Q110:Q111"/>
    <mergeCell ref="R110:R111"/>
    <mergeCell ref="S110:S111"/>
    <mergeCell ref="T110:T111"/>
    <mergeCell ref="A156:A158"/>
    <mergeCell ref="B156:B158"/>
    <mergeCell ref="C156:C158"/>
    <mergeCell ref="A115:A116"/>
    <mergeCell ref="B115:B116"/>
    <mergeCell ref="C115:C116"/>
    <mergeCell ref="D115:D116"/>
    <mergeCell ref="E115:F115"/>
    <mergeCell ref="G115:G116"/>
    <mergeCell ref="H115:H116"/>
    <mergeCell ref="I115:J115"/>
    <mergeCell ref="K115:K116"/>
    <mergeCell ref="L115:L116"/>
    <mergeCell ref="A121:A122"/>
    <mergeCell ref="B121:B122"/>
    <mergeCell ref="B124:C124"/>
    <mergeCell ref="B150:R150"/>
    <mergeCell ref="B151:S151"/>
    <mergeCell ref="B152:S152"/>
    <mergeCell ref="B153:S153"/>
    <mergeCell ref="B154:S154"/>
    <mergeCell ref="Q193:Q194"/>
    <mergeCell ref="R193:R194"/>
    <mergeCell ref="F193:F194"/>
    <mergeCell ref="G166:G167"/>
    <mergeCell ref="H166:H167"/>
    <mergeCell ref="I166:J166"/>
    <mergeCell ref="K166:K167"/>
    <mergeCell ref="L166:L167"/>
    <mergeCell ref="M166:M167"/>
    <mergeCell ref="N166:N167"/>
    <mergeCell ref="D156:F156"/>
    <mergeCell ref="E157:F157"/>
    <mergeCell ref="N156:N158"/>
    <mergeCell ref="O156:O158"/>
    <mergeCell ref="P156:P158"/>
    <mergeCell ref="Q156:Q158"/>
    <mergeCell ref="R156:R158"/>
    <mergeCell ref="J157:J158"/>
    <mergeCell ref="G193:G194"/>
    <mergeCell ref="D166:D167"/>
    <mergeCell ref="E166:F166"/>
    <mergeCell ref="O166:O167"/>
    <mergeCell ref="P166:P167"/>
    <mergeCell ref="Q166:Q167"/>
    <mergeCell ref="R166:R167"/>
    <mergeCell ref="S166:S167"/>
    <mergeCell ref="B901:S901"/>
    <mergeCell ref="B902:S902"/>
    <mergeCell ref="B900:R900"/>
    <mergeCell ref="B903:S903"/>
    <mergeCell ref="B904:S904"/>
    <mergeCell ref="B787:S787"/>
    <mergeCell ref="B788:S788"/>
    <mergeCell ref="B786:R786"/>
    <mergeCell ref="B789:S789"/>
    <mergeCell ref="B790:S790"/>
    <mergeCell ref="N806:N807"/>
    <mergeCell ref="O806:O807"/>
    <mergeCell ref="P806:P807"/>
    <mergeCell ref="Q806:Q807"/>
    <mergeCell ref="R806:R807"/>
    <mergeCell ref="S806:S807"/>
    <mergeCell ref="T806:T807"/>
    <mergeCell ref="B825:S825"/>
    <mergeCell ref="B826:S826"/>
    <mergeCell ref="B846:S846"/>
    <mergeCell ref="M828:M830"/>
    <mergeCell ref="N828:N830"/>
    <mergeCell ref="O828:O830"/>
    <mergeCell ref="P828:P830"/>
    <mergeCell ref="Q828:Q830"/>
    <mergeCell ref="R828:R830"/>
    <mergeCell ref="S828:S830"/>
    <mergeCell ref="T828:T830"/>
    <mergeCell ref="D829:D830"/>
    <mergeCell ref="E829:F829"/>
    <mergeCell ref="G829:G830"/>
    <mergeCell ref="H829:I829"/>
    <mergeCell ref="B705:S705"/>
    <mergeCell ref="T717:T718"/>
    <mergeCell ref="B761:S761"/>
    <mergeCell ref="B762:S762"/>
    <mergeCell ref="B763:S763"/>
    <mergeCell ref="B764:S764"/>
    <mergeCell ref="P615:P616"/>
    <mergeCell ref="Q615:Q616"/>
    <mergeCell ref="H615:H616"/>
    <mergeCell ref="N615:N616"/>
    <mergeCell ref="O615:O616"/>
    <mergeCell ref="B660:S660"/>
    <mergeCell ref="B659:R659"/>
    <mergeCell ref="B661:S661"/>
    <mergeCell ref="B662:S662"/>
    <mergeCell ref="A670:A671"/>
    <mergeCell ref="B670:B671"/>
    <mergeCell ref="C670:C671"/>
    <mergeCell ref="D670:G670"/>
    <mergeCell ref="H670:H671"/>
    <mergeCell ref="I670:K670"/>
    <mergeCell ref="L670:M670"/>
    <mergeCell ref="N670:N671"/>
    <mergeCell ref="O670:O671"/>
    <mergeCell ref="A615:A616"/>
    <mergeCell ref="B615:B616"/>
    <mergeCell ref="C615:C616"/>
    <mergeCell ref="R615:R616"/>
    <mergeCell ref="S615:S616"/>
    <mergeCell ref="T615:T616"/>
    <mergeCell ref="D615:G615"/>
    <mergeCell ref="I615:K615"/>
    <mergeCell ref="A161:A162"/>
    <mergeCell ref="B161:B162"/>
    <mergeCell ref="C161:C162"/>
    <mergeCell ref="D161:G161"/>
    <mergeCell ref="H161:H162"/>
    <mergeCell ref="I161:K161"/>
    <mergeCell ref="L161:M161"/>
    <mergeCell ref="N161:N162"/>
    <mergeCell ref="O161:O162"/>
    <mergeCell ref="P161:P162"/>
    <mergeCell ref="Q161:Q162"/>
    <mergeCell ref="R161:R162"/>
    <mergeCell ref="S161:S162"/>
    <mergeCell ref="T161:T162"/>
    <mergeCell ref="T193:T194"/>
    <mergeCell ref="A166:A167"/>
    <mergeCell ref="B166:B167"/>
    <mergeCell ref="C166:C167"/>
    <mergeCell ref="B168:C168"/>
    <mergeCell ref="B175:C175"/>
    <mergeCell ref="A193:A194"/>
    <mergeCell ref="B193:B194"/>
    <mergeCell ref="C193:C194"/>
    <mergeCell ref="D193:D194"/>
    <mergeCell ref="S575:S576"/>
    <mergeCell ref="T575:T576"/>
    <mergeCell ref="H575:H576"/>
    <mergeCell ref="N575:N576"/>
    <mergeCell ref="O575:O576"/>
    <mergeCell ref="P575:P576"/>
    <mergeCell ref="A556:A557"/>
    <mergeCell ref="B556:B557"/>
    <mergeCell ref="C556:C557"/>
    <mergeCell ref="D381:D382"/>
    <mergeCell ref="G381:G382"/>
    <mergeCell ref="T380:T382"/>
    <mergeCell ref="A220:A221"/>
    <mergeCell ref="B220:B221"/>
    <mergeCell ref="C220:C221"/>
    <mergeCell ref="D220:G220"/>
    <mergeCell ref="H220:H221"/>
    <mergeCell ref="I220:K220"/>
    <mergeCell ref="L220:M220"/>
    <mergeCell ref="N220:N221"/>
    <mergeCell ref="O220:O221"/>
    <mergeCell ref="P220:P221"/>
    <mergeCell ref="Q220:Q221"/>
    <mergeCell ref="R220:R221"/>
    <mergeCell ref="S220:S221"/>
    <mergeCell ref="T220:T221"/>
    <mergeCell ref="A250:A251"/>
    <mergeCell ref="B250:B251"/>
    <mergeCell ref="C250:C251"/>
    <mergeCell ref="D250:G250"/>
    <mergeCell ref="H250:H251"/>
    <mergeCell ref="I250:K250"/>
    <mergeCell ref="A855:A856"/>
    <mergeCell ref="B855:B856"/>
    <mergeCell ref="C855:C856"/>
    <mergeCell ref="D855:G855"/>
    <mergeCell ref="H855:H856"/>
    <mergeCell ref="I855:K855"/>
    <mergeCell ref="L855:M855"/>
    <mergeCell ref="N855:N856"/>
    <mergeCell ref="O855:O856"/>
    <mergeCell ref="P855:P856"/>
    <mergeCell ref="Q855:Q856"/>
    <mergeCell ref="R855:R856"/>
    <mergeCell ref="S855:S856"/>
    <mergeCell ref="T855:T856"/>
    <mergeCell ref="B824:S824"/>
    <mergeCell ref="A806:A807"/>
    <mergeCell ref="B806:B807"/>
    <mergeCell ref="C806:C807"/>
    <mergeCell ref="D806:D807"/>
    <mergeCell ref="E806:E807"/>
    <mergeCell ref="F806:F807"/>
    <mergeCell ref="G806:G807"/>
    <mergeCell ref="H806:H807"/>
    <mergeCell ref="I806:M806"/>
    <mergeCell ref="B845:S845"/>
    <mergeCell ref="B823:S823"/>
    <mergeCell ref="A828:A830"/>
    <mergeCell ref="B828:B830"/>
    <mergeCell ref="C828:C830"/>
    <mergeCell ref="D828:F828"/>
    <mergeCell ref="G828:I828"/>
    <mergeCell ref="J828:L828"/>
    <mergeCell ref="A5:A7"/>
    <mergeCell ref="B5:B7"/>
    <mergeCell ref="C5:C7"/>
    <mergeCell ref="D5:F5"/>
    <mergeCell ref="G5:I5"/>
    <mergeCell ref="J5:L5"/>
    <mergeCell ref="M5:M7"/>
    <mergeCell ref="N5:N7"/>
    <mergeCell ref="O5:O7"/>
    <mergeCell ref="P5:P7"/>
    <mergeCell ref="Q5:Q7"/>
    <mergeCell ref="R5:R7"/>
    <mergeCell ref="S5:S7"/>
    <mergeCell ref="T5:T7"/>
    <mergeCell ref="D6:D7"/>
    <mergeCell ref="E6:F6"/>
    <mergeCell ref="G6:G7"/>
    <mergeCell ref="H6:I6"/>
    <mergeCell ref="J6:J7"/>
    <mergeCell ref="K6:L6"/>
    <mergeCell ref="A10:A11"/>
    <mergeCell ref="B10:B11"/>
    <mergeCell ref="C10:C11"/>
    <mergeCell ref="D10:G10"/>
    <mergeCell ref="H10:H11"/>
    <mergeCell ref="I10:K10"/>
    <mergeCell ref="L10:M10"/>
    <mergeCell ref="N10:N11"/>
    <mergeCell ref="O10:O11"/>
    <mergeCell ref="P10:P11"/>
    <mergeCell ref="Q10:Q11"/>
    <mergeCell ref="R10:R11"/>
    <mergeCell ref="S10:S11"/>
    <mergeCell ref="T10:T11"/>
    <mergeCell ref="A15:A16"/>
    <mergeCell ref="B15:B16"/>
    <mergeCell ref="C15:C16"/>
    <mergeCell ref="D15:D16"/>
    <mergeCell ref="E15:F15"/>
    <mergeCell ref="G15:G16"/>
    <mergeCell ref="H15:H16"/>
    <mergeCell ref="I15:J15"/>
    <mergeCell ref="K15:K16"/>
    <mergeCell ref="L15:L16"/>
    <mergeCell ref="M15:M16"/>
    <mergeCell ref="N15:N16"/>
    <mergeCell ref="O15:O16"/>
    <mergeCell ref="P15:P16"/>
    <mergeCell ref="Q15:Q16"/>
    <mergeCell ref="R15:R16"/>
    <mergeCell ref="S15:S16"/>
    <mergeCell ref="T15:T16"/>
    <mergeCell ref="T47:T49"/>
    <mergeCell ref="D48:D49"/>
    <mergeCell ref="E48:F48"/>
    <mergeCell ref="G48:G49"/>
    <mergeCell ref="H48:I48"/>
    <mergeCell ref="J48:J49"/>
    <mergeCell ref="K48:L48"/>
    <mergeCell ref="A20:A21"/>
    <mergeCell ref="B20:B21"/>
    <mergeCell ref="C20:C21"/>
    <mergeCell ref="D20:D21"/>
    <mergeCell ref="E20:E21"/>
    <mergeCell ref="F20:F21"/>
    <mergeCell ref="G20:G21"/>
    <mergeCell ref="H20:H21"/>
    <mergeCell ref="I20:M20"/>
    <mergeCell ref="N20:N21"/>
    <mergeCell ref="O20:O21"/>
    <mergeCell ref="P20:P21"/>
    <mergeCell ref="Q20:Q21"/>
    <mergeCell ref="R20:R21"/>
    <mergeCell ref="S20:S21"/>
    <mergeCell ref="T20:T21"/>
    <mergeCell ref="B40:R40"/>
    <mergeCell ref="O57:O58"/>
    <mergeCell ref="P57:P58"/>
    <mergeCell ref="Q57:Q58"/>
    <mergeCell ref="R57:R58"/>
    <mergeCell ref="S57:S58"/>
    <mergeCell ref="A47:A49"/>
    <mergeCell ref="B47:B49"/>
    <mergeCell ref="C47:C49"/>
    <mergeCell ref="D47:F47"/>
    <mergeCell ref="G47:I47"/>
    <mergeCell ref="J47:L47"/>
    <mergeCell ref="M47:M49"/>
    <mergeCell ref="N47:N49"/>
    <mergeCell ref="O47:O49"/>
    <mergeCell ref="P47:P49"/>
    <mergeCell ref="Q47:Q49"/>
    <mergeCell ref="R47:R49"/>
    <mergeCell ref="S47:S49"/>
    <mergeCell ref="A70:A71"/>
    <mergeCell ref="B70:B71"/>
    <mergeCell ref="C70:C71"/>
    <mergeCell ref="D70:D71"/>
    <mergeCell ref="E70:E71"/>
    <mergeCell ref="F70:F71"/>
    <mergeCell ref="G70:G71"/>
    <mergeCell ref="H70:H71"/>
    <mergeCell ref="I70:M70"/>
    <mergeCell ref="N70:N71"/>
    <mergeCell ref="O70:O71"/>
    <mergeCell ref="P70:P71"/>
    <mergeCell ref="Q70:Q71"/>
    <mergeCell ref="R70:R71"/>
    <mergeCell ref="S70:S71"/>
    <mergeCell ref="T70:T71"/>
    <mergeCell ref="A52:A53"/>
    <mergeCell ref="B52:B53"/>
    <mergeCell ref="C52:C53"/>
    <mergeCell ref="D52:G52"/>
    <mergeCell ref="H52:H53"/>
    <mergeCell ref="I52:K52"/>
    <mergeCell ref="L52:M52"/>
    <mergeCell ref="N52:N53"/>
    <mergeCell ref="O52:O53"/>
    <mergeCell ref="P52:P53"/>
    <mergeCell ref="Q52:Q53"/>
    <mergeCell ref="R52:R53"/>
    <mergeCell ref="S52:S53"/>
    <mergeCell ref="T52:T53"/>
    <mergeCell ref="T54:T55"/>
    <mergeCell ref="A57:A58"/>
    <mergeCell ref="G299:I299"/>
    <mergeCell ref="J299:L299"/>
    <mergeCell ref="M299:M301"/>
    <mergeCell ref="N299:N301"/>
    <mergeCell ref="O299:O301"/>
    <mergeCell ref="P299:P301"/>
    <mergeCell ref="Q299:Q301"/>
    <mergeCell ref="R299:R301"/>
    <mergeCell ref="S299:S301"/>
    <mergeCell ref="L250:M250"/>
    <mergeCell ref="N250:N251"/>
    <mergeCell ref="O250:O251"/>
    <mergeCell ref="P250:P251"/>
    <mergeCell ref="Q250:Q251"/>
    <mergeCell ref="R250:R251"/>
    <mergeCell ref="S250:S251"/>
    <mergeCell ref="T57:T58"/>
    <mergeCell ref="T225:T226"/>
    <mergeCell ref="T166:T167"/>
    <mergeCell ref="B99:R99"/>
    <mergeCell ref="B100:S100"/>
    <mergeCell ref="B101:S101"/>
    <mergeCell ref="B102:S102"/>
    <mergeCell ref="B103:S103"/>
    <mergeCell ref="Q105:Q107"/>
    <mergeCell ref="R105:R107"/>
    <mergeCell ref="S105:S107"/>
    <mergeCell ref="T115:T116"/>
    <mergeCell ref="C121:C122"/>
    <mergeCell ref="D121:D122"/>
    <mergeCell ref="E121:E122"/>
    <mergeCell ref="B212:S212"/>
    <mergeCell ref="M115:M116"/>
    <mergeCell ref="N115:N116"/>
    <mergeCell ref="N304:N305"/>
    <mergeCell ref="O304:O305"/>
    <mergeCell ref="P304:P305"/>
    <mergeCell ref="Q304:Q305"/>
    <mergeCell ref="R304:R305"/>
    <mergeCell ref="S304:S305"/>
    <mergeCell ref="T304:T305"/>
    <mergeCell ref="A309:A310"/>
    <mergeCell ref="B309:B310"/>
    <mergeCell ref="C309:C310"/>
    <mergeCell ref="D309:D310"/>
    <mergeCell ref="E309:E310"/>
    <mergeCell ref="F309:F310"/>
    <mergeCell ref="G309:G310"/>
    <mergeCell ref="H309:H310"/>
    <mergeCell ref="I309:M309"/>
    <mergeCell ref="N309:N310"/>
    <mergeCell ref="O309:O310"/>
    <mergeCell ref="P309:P310"/>
    <mergeCell ref="Q309:Q310"/>
    <mergeCell ref="R309:R310"/>
    <mergeCell ref="S309:S310"/>
    <mergeCell ref="T309:T310"/>
    <mergeCell ref="B295:S295"/>
    <mergeCell ref="B296:S296"/>
    <mergeCell ref="B297:S297"/>
    <mergeCell ref="A299:A301"/>
    <mergeCell ref="B299:B301"/>
    <mergeCell ref="C299:C301"/>
    <mergeCell ref="D299:F299"/>
    <mergeCell ref="Q331:Q333"/>
    <mergeCell ref="R331:R333"/>
    <mergeCell ref="S331:S333"/>
    <mergeCell ref="T331:T333"/>
    <mergeCell ref="D332:D333"/>
    <mergeCell ref="E332:F332"/>
    <mergeCell ref="G332:G333"/>
    <mergeCell ref="H332:I332"/>
    <mergeCell ref="J332:J333"/>
    <mergeCell ref="K332:L332"/>
    <mergeCell ref="B327:S327"/>
    <mergeCell ref="B328:S328"/>
    <mergeCell ref="B329:S329"/>
    <mergeCell ref="T336:T337"/>
    <mergeCell ref="A340:A341"/>
    <mergeCell ref="B340:B341"/>
    <mergeCell ref="C340:C341"/>
    <mergeCell ref="D340:D341"/>
    <mergeCell ref="E340:F340"/>
    <mergeCell ref="G340:G341"/>
    <mergeCell ref="H340:H341"/>
    <mergeCell ref="I340:J340"/>
    <mergeCell ref="K340:K341"/>
    <mergeCell ref="L340:L341"/>
    <mergeCell ref="M340:M341"/>
    <mergeCell ref="N340:N341"/>
    <mergeCell ref="O340:O341"/>
    <mergeCell ref="P340:P341"/>
    <mergeCell ref="Q340:Q341"/>
    <mergeCell ref="R340:R341"/>
    <mergeCell ref="S340:S341"/>
    <mergeCell ref="T340:T341"/>
    <mergeCell ref="C347:C348"/>
    <mergeCell ref="D347:D348"/>
    <mergeCell ref="E347:E348"/>
    <mergeCell ref="F347:F348"/>
    <mergeCell ref="G347:G348"/>
    <mergeCell ref="H347:H348"/>
    <mergeCell ref="I347:M347"/>
    <mergeCell ref="N347:N348"/>
    <mergeCell ref="O347:O348"/>
    <mergeCell ref="P347:P348"/>
    <mergeCell ref="Q347:Q348"/>
    <mergeCell ref="R347:R348"/>
    <mergeCell ref="S347:S348"/>
    <mergeCell ref="T347:T348"/>
    <mergeCell ref="B373:T373"/>
    <mergeCell ref="B374:R374"/>
    <mergeCell ref="B375:S375"/>
    <mergeCell ref="B376:S376"/>
    <mergeCell ref="B377:S377"/>
    <mergeCell ref="B378:S378"/>
    <mergeCell ref="A380:A382"/>
    <mergeCell ref="B380:B382"/>
    <mergeCell ref="C380:C382"/>
    <mergeCell ref="D380:F380"/>
    <mergeCell ref="G380:I380"/>
    <mergeCell ref="J380:L380"/>
    <mergeCell ref="M380:M382"/>
    <mergeCell ref="N380:N382"/>
    <mergeCell ref="O380:O382"/>
    <mergeCell ref="P380:P382"/>
    <mergeCell ref="Q380:Q382"/>
    <mergeCell ref="R380:R382"/>
    <mergeCell ref="S380:S382"/>
    <mergeCell ref="E381:F381"/>
    <mergeCell ref="H381:I381"/>
    <mergeCell ref="J381:J382"/>
    <mergeCell ref="K381:L381"/>
    <mergeCell ref="D385:G385"/>
    <mergeCell ref="I385:K385"/>
    <mergeCell ref="L385:M385"/>
    <mergeCell ref="D387:D388"/>
    <mergeCell ref="E387:E388"/>
    <mergeCell ref="F387:F388"/>
    <mergeCell ref="G387:G388"/>
    <mergeCell ref="T387:T388"/>
    <mergeCell ref="A391:A392"/>
    <mergeCell ref="B391:B392"/>
    <mergeCell ref="C391:C392"/>
    <mergeCell ref="D391:D392"/>
    <mergeCell ref="E391:E392"/>
    <mergeCell ref="F391:F392"/>
    <mergeCell ref="G391:G392"/>
    <mergeCell ref="H391:H392"/>
    <mergeCell ref="I391:M391"/>
    <mergeCell ref="N391:N392"/>
    <mergeCell ref="O391:O392"/>
    <mergeCell ref="P391:P392"/>
    <mergeCell ref="Q391:Q392"/>
    <mergeCell ref="R391:R392"/>
    <mergeCell ref="S391:S392"/>
    <mergeCell ref="T391:T392"/>
    <mergeCell ref="Q385:Q386"/>
    <mergeCell ref="R385:R386"/>
    <mergeCell ref="A385:A386"/>
    <mergeCell ref="B400:R400"/>
    <mergeCell ref="B401:S401"/>
    <mergeCell ref="B402:S402"/>
    <mergeCell ref="B403:S403"/>
    <mergeCell ref="B404:S404"/>
    <mergeCell ref="A406:A408"/>
    <mergeCell ref="B406:B408"/>
    <mergeCell ref="C406:C408"/>
    <mergeCell ref="D406:F406"/>
    <mergeCell ref="G406:I406"/>
    <mergeCell ref="J406:L406"/>
    <mergeCell ref="M406:M408"/>
    <mergeCell ref="N406:N408"/>
    <mergeCell ref="O406:O408"/>
    <mergeCell ref="P406:P408"/>
    <mergeCell ref="Q406:Q408"/>
    <mergeCell ref="R406:R408"/>
    <mergeCell ref="S406:S408"/>
    <mergeCell ref="T406:T408"/>
    <mergeCell ref="D407:D408"/>
    <mergeCell ref="E407:F407"/>
    <mergeCell ref="G407:G408"/>
    <mergeCell ref="H407:I407"/>
    <mergeCell ref="J407:J408"/>
    <mergeCell ref="K407:L407"/>
    <mergeCell ref="D411:G411"/>
    <mergeCell ref="I411:K411"/>
    <mergeCell ref="L411:M411"/>
    <mergeCell ref="T413:T414"/>
    <mergeCell ref="A417:A418"/>
    <mergeCell ref="B417:B418"/>
    <mergeCell ref="C417:C418"/>
    <mergeCell ref="D417:D418"/>
    <mergeCell ref="E417:E418"/>
    <mergeCell ref="F417:F418"/>
    <mergeCell ref="G417:G418"/>
    <mergeCell ref="H417:H418"/>
    <mergeCell ref="I417:M417"/>
    <mergeCell ref="N417:N418"/>
    <mergeCell ref="O417:O418"/>
    <mergeCell ref="P417:P418"/>
    <mergeCell ref="Q417:Q418"/>
    <mergeCell ref="R417:R418"/>
    <mergeCell ref="S417:S418"/>
    <mergeCell ref="T417:T418"/>
    <mergeCell ref="A411:A412"/>
    <mergeCell ref="B411:B412"/>
    <mergeCell ref="C411:C412"/>
    <mergeCell ref="Q411:Q412"/>
    <mergeCell ref="R411:R412"/>
    <mergeCell ref="B428:S428"/>
    <mergeCell ref="B429:S429"/>
    <mergeCell ref="A431:A433"/>
    <mergeCell ref="B431:B433"/>
    <mergeCell ref="C431:C433"/>
    <mergeCell ref="D431:F431"/>
    <mergeCell ref="G431:I431"/>
    <mergeCell ref="J431:L431"/>
    <mergeCell ref="M431:M433"/>
    <mergeCell ref="N431:N433"/>
    <mergeCell ref="O431:O433"/>
    <mergeCell ref="P431:P433"/>
    <mergeCell ref="Q431:Q433"/>
    <mergeCell ref="R431:R433"/>
    <mergeCell ref="S431:S433"/>
    <mergeCell ref="T431:T433"/>
    <mergeCell ref="D432:D433"/>
    <mergeCell ref="E432:F432"/>
    <mergeCell ref="G432:G433"/>
    <mergeCell ref="H432:I432"/>
    <mergeCell ref="J432:J433"/>
    <mergeCell ref="K432:L432"/>
    <mergeCell ref="B436:B437"/>
    <mergeCell ref="C436:C437"/>
    <mergeCell ref="D436:G436"/>
    <mergeCell ref="H436:H437"/>
    <mergeCell ref="I436:K436"/>
    <mergeCell ref="L436:M436"/>
    <mergeCell ref="N436:N437"/>
    <mergeCell ref="O436:O437"/>
    <mergeCell ref="P436:P437"/>
    <mergeCell ref="Q436:Q437"/>
    <mergeCell ref="R436:R437"/>
    <mergeCell ref="S436:S437"/>
    <mergeCell ref="T436:T437"/>
    <mergeCell ref="A440:A441"/>
    <mergeCell ref="B440:B441"/>
    <mergeCell ref="C440:C441"/>
    <mergeCell ref="D440:D441"/>
    <mergeCell ref="E440:F440"/>
    <mergeCell ref="G440:G441"/>
    <mergeCell ref="H440:H441"/>
    <mergeCell ref="I440:J440"/>
    <mergeCell ref="K440:K441"/>
    <mergeCell ref="L440:L441"/>
    <mergeCell ref="M440:M441"/>
    <mergeCell ref="N440:N441"/>
    <mergeCell ref="O440:O441"/>
    <mergeCell ref="P440:P441"/>
    <mergeCell ref="Q440:Q441"/>
    <mergeCell ref="R440:R441"/>
    <mergeCell ref="S440:S441"/>
    <mergeCell ref="T440:T441"/>
    <mergeCell ref="A436:A437"/>
    <mergeCell ref="T450:T451"/>
    <mergeCell ref="B457:R457"/>
    <mergeCell ref="B458:S458"/>
    <mergeCell ref="B459:S459"/>
    <mergeCell ref="B460:S460"/>
    <mergeCell ref="B461:S461"/>
    <mergeCell ref="A463:A465"/>
    <mergeCell ref="B463:B465"/>
    <mergeCell ref="C463:C465"/>
    <mergeCell ref="D463:F463"/>
    <mergeCell ref="G463:I463"/>
    <mergeCell ref="J463:L463"/>
    <mergeCell ref="M463:M465"/>
    <mergeCell ref="N463:N465"/>
    <mergeCell ref="O463:O465"/>
    <mergeCell ref="P463:P465"/>
    <mergeCell ref="Q463:Q465"/>
    <mergeCell ref="R463:R465"/>
    <mergeCell ref="S463:S465"/>
    <mergeCell ref="T463:T465"/>
    <mergeCell ref="D464:D465"/>
    <mergeCell ref="E464:F464"/>
    <mergeCell ref="G464:G465"/>
    <mergeCell ref="H464:I464"/>
    <mergeCell ref="J464:J465"/>
    <mergeCell ref="K464:L464"/>
    <mergeCell ref="A450:A451"/>
    <mergeCell ref="B450:B451"/>
    <mergeCell ref="C450:C451"/>
    <mergeCell ref="D450:D451"/>
    <mergeCell ref="E450:E451"/>
    <mergeCell ref="F450:F451"/>
    <mergeCell ref="A468:A469"/>
    <mergeCell ref="B468:B469"/>
    <mergeCell ref="C468:C469"/>
    <mergeCell ref="D468:G468"/>
    <mergeCell ref="H468:H469"/>
    <mergeCell ref="I468:K468"/>
    <mergeCell ref="L468:M468"/>
    <mergeCell ref="N468:N469"/>
    <mergeCell ref="O468:O469"/>
    <mergeCell ref="P468:P469"/>
    <mergeCell ref="Q468:Q469"/>
    <mergeCell ref="R468:R469"/>
    <mergeCell ref="S468:S469"/>
    <mergeCell ref="T468:T469"/>
    <mergeCell ref="A472:A473"/>
    <mergeCell ref="B472:B473"/>
    <mergeCell ref="C472:C473"/>
    <mergeCell ref="D472:D473"/>
    <mergeCell ref="E472:F472"/>
    <mergeCell ref="G472:G473"/>
    <mergeCell ref="H472:H473"/>
    <mergeCell ref="I472:J472"/>
    <mergeCell ref="K472:K473"/>
    <mergeCell ref="L472:L473"/>
    <mergeCell ref="M472:M473"/>
    <mergeCell ref="N472:N473"/>
    <mergeCell ref="O472:O473"/>
    <mergeCell ref="P472:P473"/>
    <mergeCell ref="Q472:Q473"/>
    <mergeCell ref="R472:R473"/>
    <mergeCell ref="S472:S473"/>
    <mergeCell ref="T472:T473"/>
    <mergeCell ref="A481:A482"/>
    <mergeCell ref="B481:B482"/>
    <mergeCell ref="C481:C482"/>
    <mergeCell ref="D481:D482"/>
    <mergeCell ref="E481:E482"/>
    <mergeCell ref="F481:F482"/>
    <mergeCell ref="G481:G482"/>
    <mergeCell ref="H481:H482"/>
    <mergeCell ref="I481:M481"/>
    <mergeCell ref="N481:N482"/>
    <mergeCell ref="O481:O482"/>
    <mergeCell ref="P481:P482"/>
    <mergeCell ref="Q481:Q482"/>
    <mergeCell ref="R481:R482"/>
    <mergeCell ref="S481:S482"/>
    <mergeCell ref="T481:T482"/>
    <mergeCell ref="B488:R488"/>
    <mergeCell ref="B490:S490"/>
    <mergeCell ref="B491:S491"/>
    <mergeCell ref="B492:S492"/>
    <mergeCell ref="A494:A496"/>
    <mergeCell ref="B494:B496"/>
    <mergeCell ref="C494:C496"/>
    <mergeCell ref="D494:F494"/>
    <mergeCell ref="G494:I494"/>
    <mergeCell ref="J494:L494"/>
    <mergeCell ref="M494:M496"/>
    <mergeCell ref="N494:N496"/>
    <mergeCell ref="O494:O496"/>
    <mergeCell ref="P494:P496"/>
    <mergeCell ref="Q494:Q496"/>
    <mergeCell ref="R494:R496"/>
    <mergeCell ref="S494:S496"/>
    <mergeCell ref="T494:T496"/>
    <mergeCell ref="D495:D496"/>
    <mergeCell ref="E495:F495"/>
    <mergeCell ref="G495:G496"/>
    <mergeCell ref="H495:I495"/>
    <mergeCell ref="J495:J496"/>
    <mergeCell ref="K495:L495"/>
    <mergeCell ref="A499:A500"/>
    <mergeCell ref="B499:B500"/>
    <mergeCell ref="C499:C500"/>
    <mergeCell ref="D499:G499"/>
    <mergeCell ref="H499:H500"/>
    <mergeCell ref="I499:K499"/>
    <mergeCell ref="L499:M499"/>
    <mergeCell ref="N499:N500"/>
    <mergeCell ref="O499:O500"/>
    <mergeCell ref="P499:P500"/>
    <mergeCell ref="Q499:Q500"/>
    <mergeCell ref="R499:R500"/>
    <mergeCell ref="S499:S500"/>
    <mergeCell ref="T499:T500"/>
    <mergeCell ref="A503:A504"/>
    <mergeCell ref="B503:B504"/>
    <mergeCell ref="C503:C504"/>
    <mergeCell ref="D503:D504"/>
    <mergeCell ref="E503:F503"/>
    <mergeCell ref="G503:G504"/>
    <mergeCell ref="H503:H504"/>
    <mergeCell ref="I503:J503"/>
    <mergeCell ref="K503:K504"/>
    <mergeCell ref="L503:L504"/>
    <mergeCell ref="M503:M504"/>
    <mergeCell ref="N503:N504"/>
    <mergeCell ref="O503:O504"/>
    <mergeCell ref="P503:P504"/>
    <mergeCell ref="Q503:Q504"/>
    <mergeCell ref="R503:R504"/>
    <mergeCell ref="S503:S504"/>
    <mergeCell ref="T503:T504"/>
    <mergeCell ref="O511:O512"/>
    <mergeCell ref="P511:P512"/>
    <mergeCell ref="Q511:Q512"/>
    <mergeCell ref="R511:R512"/>
    <mergeCell ref="S511:S512"/>
    <mergeCell ref="T511:T512"/>
    <mergeCell ref="B530:R530"/>
    <mergeCell ref="B531:S531"/>
    <mergeCell ref="B532:S532"/>
    <mergeCell ref="B533:S533"/>
    <mergeCell ref="B534:S534"/>
    <mergeCell ref="A536:A538"/>
    <mergeCell ref="B536:B538"/>
    <mergeCell ref="C536:C538"/>
    <mergeCell ref="D536:F536"/>
    <mergeCell ref="G536:I536"/>
    <mergeCell ref="J536:L536"/>
    <mergeCell ref="M536:M538"/>
    <mergeCell ref="N536:N538"/>
    <mergeCell ref="O536:O538"/>
    <mergeCell ref="P536:P538"/>
    <mergeCell ref="Q536:Q538"/>
    <mergeCell ref="R536:R538"/>
    <mergeCell ref="S536:S538"/>
    <mergeCell ref="T536:T538"/>
    <mergeCell ref="D537:D538"/>
    <mergeCell ref="E537:F537"/>
    <mergeCell ref="G537:G538"/>
    <mergeCell ref="H537:I537"/>
    <mergeCell ref="J537:J538"/>
    <mergeCell ref="K537:L537"/>
    <mergeCell ref="D541:G541"/>
    <mergeCell ref="I541:K541"/>
    <mergeCell ref="L541:M541"/>
    <mergeCell ref="C543:C544"/>
    <mergeCell ref="D543:D544"/>
    <mergeCell ref="E543:E544"/>
    <mergeCell ref="F543:F544"/>
    <mergeCell ref="H543:H544"/>
    <mergeCell ref="T543:T544"/>
    <mergeCell ref="A546:A547"/>
    <mergeCell ref="B546:B547"/>
    <mergeCell ref="C546:C547"/>
    <mergeCell ref="D546:D547"/>
    <mergeCell ref="E546:F546"/>
    <mergeCell ref="G546:G547"/>
    <mergeCell ref="H546:H547"/>
    <mergeCell ref="I546:J546"/>
    <mergeCell ref="K546:K547"/>
    <mergeCell ref="L546:L547"/>
    <mergeCell ref="M546:M547"/>
    <mergeCell ref="N546:N547"/>
    <mergeCell ref="O546:O547"/>
    <mergeCell ref="P546:P547"/>
    <mergeCell ref="Q546:Q547"/>
    <mergeCell ref="R546:R547"/>
    <mergeCell ref="S546:S547"/>
    <mergeCell ref="T546:T547"/>
    <mergeCell ref="A541:A542"/>
    <mergeCell ref="B541:B542"/>
    <mergeCell ref="C541:C542"/>
    <mergeCell ref="S541:S542"/>
    <mergeCell ref="T541:T542"/>
    <mergeCell ref="D556:D557"/>
    <mergeCell ref="E556:E557"/>
    <mergeCell ref="F556:F557"/>
    <mergeCell ref="G556:G557"/>
    <mergeCell ref="H556:H557"/>
    <mergeCell ref="I556:M556"/>
    <mergeCell ref="N556:N557"/>
    <mergeCell ref="O556:O557"/>
    <mergeCell ref="P556:P557"/>
    <mergeCell ref="Q556:Q557"/>
    <mergeCell ref="R556:R557"/>
    <mergeCell ref="S556:S557"/>
    <mergeCell ref="T556:T557"/>
    <mergeCell ref="B564:R564"/>
    <mergeCell ref="B565:S565"/>
    <mergeCell ref="B566:S566"/>
    <mergeCell ref="B567:S567"/>
    <mergeCell ref="B568:S568"/>
    <mergeCell ref="A570:A572"/>
    <mergeCell ref="B570:B572"/>
    <mergeCell ref="C570:C572"/>
    <mergeCell ref="D570:F570"/>
    <mergeCell ref="G570:I570"/>
    <mergeCell ref="J570:L570"/>
    <mergeCell ref="M570:M572"/>
    <mergeCell ref="N570:N572"/>
    <mergeCell ref="O570:O572"/>
    <mergeCell ref="P570:P572"/>
    <mergeCell ref="Q570:Q572"/>
    <mergeCell ref="R570:R572"/>
    <mergeCell ref="S570:S572"/>
    <mergeCell ref="T570:T572"/>
    <mergeCell ref="D571:D572"/>
    <mergeCell ref="E571:F571"/>
    <mergeCell ref="G571:G572"/>
    <mergeCell ref="H571:I571"/>
    <mergeCell ref="J571:J572"/>
    <mergeCell ref="K571:L571"/>
    <mergeCell ref="D575:G575"/>
    <mergeCell ref="I575:K575"/>
    <mergeCell ref="L575:M575"/>
    <mergeCell ref="A580:A581"/>
    <mergeCell ref="B580:B581"/>
    <mergeCell ref="C580:C581"/>
    <mergeCell ref="D580:D581"/>
    <mergeCell ref="E580:E581"/>
    <mergeCell ref="F580:F581"/>
    <mergeCell ref="G580:G581"/>
    <mergeCell ref="H580:H581"/>
    <mergeCell ref="I580:M580"/>
    <mergeCell ref="N580:N581"/>
    <mergeCell ref="O580:O581"/>
    <mergeCell ref="P580:P581"/>
    <mergeCell ref="Q580:Q581"/>
    <mergeCell ref="R580:R581"/>
    <mergeCell ref="A575:A576"/>
    <mergeCell ref="S580:S581"/>
    <mergeCell ref="T580:T581"/>
    <mergeCell ref="B604:R604"/>
    <mergeCell ref="B605:S605"/>
    <mergeCell ref="B606:S606"/>
    <mergeCell ref="B607:S607"/>
    <mergeCell ref="B608:S608"/>
    <mergeCell ref="A610:A612"/>
    <mergeCell ref="B610:B612"/>
    <mergeCell ref="C610:C612"/>
    <mergeCell ref="D610:F610"/>
    <mergeCell ref="G610:I610"/>
    <mergeCell ref="J610:L610"/>
    <mergeCell ref="M610:M612"/>
    <mergeCell ref="N610:N612"/>
    <mergeCell ref="O610:O612"/>
    <mergeCell ref="P610:P612"/>
    <mergeCell ref="Q610:Q612"/>
    <mergeCell ref="R610:R612"/>
    <mergeCell ref="S610:S612"/>
    <mergeCell ref="T610:T612"/>
    <mergeCell ref="D611:D612"/>
    <mergeCell ref="E611:F611"/>
    <mergeCell ref="G611:G612"/>
    <mergeCell ref="H611:I611"/>
    <mergeCell ref="J611:J612"/>
    <mergeCell ref="K611:L611"/>
    <mergeCell ref="L615:M615"/>
    <mergeCell ref="A620:A621"/>
    <mergeCell ref="B620:B621"/>
    <mergeCell ref="C620:C621"/>
    <mergeCell ref="D620:D621"/>
    <mergeCell ref="E620:E621"/>
    <mergeCell ref="F620:F621"/>
    <mergeCell ref="G620:G621"/>
    <mergeCell ref="H620:H621"/>
    <mergeCell ref="I620:M620"/>
    <mergeCell ref="N620:N621"/>
    <mergeCell ref="O620:O621"/>
    <mergeCell ref="P620:P621"/>
    <mergeCell ref="Q620:Q621"/>
    <mergeCell ref="R620:R621"/>
    <mergeCell ref="S620:S621"/>
    <mergeCell ref="T620:T621"/>
    <mergeCell ref="B628:R628"/>
    <mergeCell ref="B629:S629"/>
    <mergeCell ref="B630:S630"/>
    <mergeCell ref="B631:S631"/>
    <mergeCell ref="A634:A636"/>
    <mergeCell ref="B634:B636"/>
    <mergeCell ref="C634:C636"/>
    <mergeCell ref="D634:F634"/>
    <mergeCell ref="G634:I634"/>
    <mergeCell ref="J634:L634"/>
    <mergeCell ref="M634:M636"/>
    <mergeCell ref="N634:N636"/>
    <mergeCell ref="O634:O636"/>
    <mergeCell ref="P634:P636"/>
    <mergeCell ref="Q634:Q636"/>
    <mergeCell ref="R634:R636"/>
    <mergeCell ref="S634:S636"/>
    <mergeCell ref="A632:T632"/>
    <mergeCell ref="T634:T636"/>
    <mergeCell ref="D635:D636"/>
    <mergeCell ref="E635:F635"/>
    <mergeCell ref="G635:G636"/>
    <mergeCell ref="H635:I635"/>
    <mergeCell ref="J635:J636"/>
    <mergeCell ref="K635:L635"/>
    <mergeCell ref="A639:A640"/>
    <mergeCell ref="B639:B640"/>
    <mergeCell ref="C639:C640"/>
    <mergeCell ref="D639:G639"/>
    <mergeCell ref="H639:H640"/>
    <mergeCell ref="I639:K639"/>
    <mergeCell ref="L639:M639"/>
    <mergeCell ref="N639:N640"/>
    <mergeCell ref="O639:O640"/>
    <mergeCell ref="P639:P640"/>
    <mergeCell ref="Q639:Q640"/>
    <mergeCell ref="R639:R640"/>
    <mergeCell ref="S639:S640"/>
    <mergeCell ref="T639:T640"/>
    <mergeCell ref="A644:A645"/>
    <mergeCell ref="B644:B645"/>
    <mergeCell ref="C644:C645"/>
    <mergeCell ref="D644:D645"/>
    <mergeCell ref="E644:E645"/>
    <mergeCell ref="F644:F645"/>
    <mergeCell ref="G644:G645"/>
    <mergeCell ref="H644:H645"/>
    <mergeCell ref="I644:M644"/>
    <mergeCell ref="N644:N645"/>
    <mergeCell ref="O644:O645"/>
    <mergeCell ref="P644:P645"/>
    <mergeCell ref="Q644:Q645"/>
    <mergeCell ref="R644:R645"/>
    <mergeCell ref="S644:S645"/>
    <mergeCell ref="T644:T645"/>
    <mergeCell ref="B663:S663"/>
    <mergeCell ref="A665:A667"/>
    <mergeCell ref="B665:B667"/>
    <mergeCell ref="C665:C667"/>
    <mergeCell ref="D665:F665"/>
    <mergeCell ref="G665:I665"/>
    <mergeCell ref="J665:L665"/>
    <mergeCell ref="M665:M667"/>
    <mergeCell ref="N665:N667"/>
    <mergeCell ref="O665:O667"/>
    <mergeCell ref="P665:P667"/>
    <mergeCell ref="Q665:Q667"/>
    <mergeCell ref="R665:R667"/>
    <mergeCell ref="S665:S667"/>
    <mergeCell ref="T665:T667"/>
    <mergeCell ref="D666:D667"/>
    <mergeCell ref="E666:F666"/>
    <mergeCell ref="G666:G667"/>
    <mergeCell ref="H666:I666"/>
    <mergeCell ref="J666:J667"/>
    <mergeCell ref="K666:L666"/>
    <mergeCell ref="P670:P671"/>
    <mergeCell ref="Q670:Q671"/>
    <mergeCell ref="R670:R671"/>
    <mergeCell ref="S670:S671"/>
    <mergeCell ref="T670:T671"/>
    <mergeCell ref="A674:A675"/>
    <mergeCell ref="B674:B675"/>
    <mergeCell ref="C674:C675"/>
    <mergeCell ref="D674:D675"/>
    <mergeCell ref="E674:F674"/>
    <mergeCell ref="G674:G675"/>
    <mergeCell ref="H674:H675"/>
    <mergeCell ref="I674:J674"/>
    <mergeCell ref="K674:K675"/>
    <mergeCell ref="L674:L675"/>
    <mergeCell ref="M674:M675"/>
    <mergeCell ref="N674:N675"/>
    <mergeCell ref="O674:O675"/>
    <mergeCell ref="P674:P675"/>
    <mergeCell ref="Q674:Q675"/>
    <mergeCell ref="R674:R675"/>
    <mergeCell ref="S674:S675"/>
    <mergeCell ref="T674:T675"/>
    <mergeCell ref="A687:A688"/>
    <mergeCell ref="B687:B688"/>
    <mergeCell ref="C687:C688"/>
    <mergeCell ref="D687:D688"/>
    <mergeCell ref="E687:E688"/>
    <mergeCell ref="F687:F688"/>
    <mergeCell ref="G687:G688"/>
    <mergeCell ref="H687:H688"/>
    <mergeCell ref="I687:M687"/>
    <mergeCell ref="N687:N688"/>
    <mergeCell ref="O687:O688"/>
    <mergeCell ref="P687:P688"/>
    <mergeCell ref="Q687:Q688"/>
    <mergeCell ref="R687:R688"/>
    <mergeCell ref="S687:S688"/>
    <mergeCell ref="T687:T688"/>
    <mergeCell ref="B704:R704"/>
    <mergeCell ref="B706:S706"/>
    <mergeCell ref="B707:S707"/>
    <mergeCell ref="B708:S708"/>
    <mergeCell ref="A710:A712"/>
    <mergeCell ref="B710:B712"/>
    <mergeCell ref="C710:C712"/>
    <mergeCell ref="D710:F710"/>
    <mergeCell ref="G710:I710"/>
    <mergeCell ref="J710:L710"/>
    <mergeCell ref="M710:M712"/>
    <mergeCell ref="N710:N712"/>
    <mergeCell ref="O710:O712"/>
    <mergeCell ref="P710:P712"/>
    <mergeCell ref="Q710:Q712"/>
    <mergeCell ref="R710:R712"/>
    <mergeCell ref="S710:S712"/>
    <mergeCell ref="T710:T712"/>
    <mergeCell ref="D711:D712"/>
    <mergeCell ref="E711:F711"/>
    <mergeCell ref="G711:G712"/>
    <mergeCell ref="H711:I711"/>
    <mergeCell ref="J711:J712"/>
    <mergeCell ref="K711:L711"/>
    <mergeCell ref="A715:A716"/>
    <mergeCell ref="B715:B716"/>
    <mergeCell ref="C715:C716"/>
    <mergeCell ref="D715:G715"/>
    <mergeCell ref="H715:H716"/>
    <mergeCell ref="I715:K715"/>
    <mergeCell ref="L715:M715"/>
    <mergeCell ref="N715:N716"/>
    <mergeCell ref="O715:O716"/>
    <mergeCell ref="P715:P716"/>
    <mergeCell ref="Q715:Q716"/>
    <mergeCell ref="R715:R716"/>
    <mergeCell ref="S715:S716"/>
    <mergeCell ref="T715:T716"/>
    <mergeCell ref="A720:A721"/>
    <mergeCell ref="B720:B721"/>
    <mergeCell ref="C720:C721"/>
    <mergeCell ref="D720:D721"/>
    <mergeCell ref="E720:F720"/>
    <mergeCell ref="G720:G721"/>
    <mergeCell ref="H720:H721"/>
    <mergeCell ref="I720:J720"/>
    <mergeCell ref="K720:K721"/>
    <mergeCell ref="L720:L721"/>
    <mergeCell ref="M720:M721"/>
    <mergeCell ref="N720:N721"/>
    <mergeCell ref="O720:O721"/>
    <mergeCell ref="P720:P721"/>
    <mergeCell ref="Q720:Q721"/>
    <mergeCell ref="R720:R721"/>
    <mergeCell ref="S720:S721"/>
    <mergeCell ref="T720:T721"/>
    <mergeCell ref="A734:A735"/>
    <mergeCell ref="B734:B735"/>
    <mergeCell ref="C734:C735"/>
    <mergeCell ref="D734:D735"/>
    <mergeCell ref="E734:E735"/>
    <mergeCell ref="F734:F735"/>
    <mergeCell ref="G734:G735"/>
    <mergeCell ref="H734:H735"/>
    <mergeCell ref="I734:M734"/>
    <mergeCell ref="N734:N735"/>
    <mergeCell ref="O734:O735"/>
    <mergeCell ref="P734:P735"/>
    <mergeCell ref="Q734:Q735"/>
    <mergeCell ref="R734:R735"/>
    <mergeCell ref="S734:S735"/>
    <mergeCell ref="T734:T735"/>
    <mergeCell ref="B760:R760"/>
    <mergeCell ref="A766:A768"/>
    <mergeCell ref="B766:B768"/>
    <mergeCell ref="C766:C768"/>
    <mergeCell ref="D766:F766"/>
    <mergeCell ref="G766:I766"/>
    <mergeCell ref="J766:L766"/>
    <mergeCell ref="M766:M768"/>
    <mergeCell ref="N766:N768"/>
    <mergeCell ref="O766:O768"/>
    <mergeCell ref="P766:P768"/>
    <mergeCell ref="Q766:Q768"/>
    <mergeCell ref="R766:R768"/>
    <mergeCell ref="S766:S768"/>
    <mergeCell ref="T766:T768"/>
    <mergeCell ref="D767:D768"/>
    <mergeCell ref="E767:F767"/>
    <mergeCell ref="G767:G768"/>
    <mergeCell ref="H767:I767"/>
    <mergeCell ref="J767:J768"/>
    <mergeCell ref="K767:L767"/>
    <mergeCell ref="A771:A772"/>
    <mergeCell ref="B771:B772"/>
    <mergeCell ref="C771:C772"/>
    <mergeCell ref="D771:G771"/>
    <mergeCell ref="H771:H772"/>
    <mergeCell ref="I771:K771"/>
    <mergeCell ref="L771:M771"/>
    <mergeCell ref="N771:N772"/>
    <mergeCell ref="O771:O772"/>
    <mergeCell ref="P771:P772"/>
    <mergeCell ref="Q771:Q772"/>
    <mergeCell ref="R771:R772"/>
    <mergeCell ref="S771:S772"/>
    <mergeCell ref="T771:T772"/>
    <mergeCell ref="A776:A777"/>
    <mergeCell ref="B776:B777"/>
    <mergeCell ref="C776:C777"/>
    <mergeCell ref="D776:D777"/>
    <mergeCell ref="E776:E777"/>
    <mergeCell ref="F776:F777"/>
    <mergeCell ref="G776:G777"/>
    <mergeCell ref="H776:H777"/>
    <mergeCell ref="I776:M776"/>
    <mergeCell ref="N776:N777"/>
    <mergeCell ref="O776:O777"/>
    <mergeCell ref="P776:P777"/>
    <mergeCell ref="Q776:Q777"/>
    <mergeCell ref="R776:R777"/>
    <mergeCell ref="S776:S777"/>
    <mergeCell ref="T776:T777"/>
    <mergeCell ref="A792:A794"/>
    <mergeCell ref="B792:B794"/>
    <mergeCell ref="C792:C794"/>
    <mergeCell ref="D792:F792"/>
    <mergeCell ref="G792:I792"/>
    <mergeCell ref="J792:L792"/>
    <mergeCell ref="M792:M794"/>
    <mergeCell ref="N792:N794"/>
    <mergeCell ref="O792:O794"/>
    <mergeCell ref="P792:P794"/>
    <mergeCell ref="Q792:Q794"/>
    <mergeCell ref="R792:R794"/>
    <mergeCell ref="S792:S794"/>
    <mergeCell ref="T792:T794"/>
    <mergeCell ref="D793:D794"/>
    <mergeCell ref="E793:F793"/>
    <mergeCell ref="G793:G794"/>
    <mergeCell ref="H793:I793"/>
    <mergeCell ref="J793:J794"/>
    <mergeCell ref="K793:L793"/>
    <mergeCell ref="A797:A798"/>
    <mergeCell ref="B797:B798"/>
    <mergeCell ref="C797:C798"/>
    <mergeCell ref="D797:G797"/>
    <mergeCell ref="H797:H798"/>
    <mergeCell ref="I797:K797"/>
    <mergeCell ref="L797:M797"/>
    <mergeCell ref="N797:N798"/>
    <mergeCell ref="O797:O798"/>
    <mergeCell ref="P797:P798"/>
    <mergeCell ref="Q797:Q798"/>
    <mergeCell ref="R797:R798"/>
    <mergeCell ref="S797:S798"/>
    <mergeCell ref="T797:T798"/>
    <mergeCell ref="A801:A802"/>
    <mergeCell ref="B801:B802"/>
    <mergeCell ref="C801:C802"/>
    <mergeCell ref="D801:D802"/>
    <mergeCell ref="E801:F801"/>
    <mergeCell ref="G801:G802"/>
    <mergeCell ref="H801:H802"/>
    <mergeCell ref="I801:J801"/>
    <mergeCell ref="K801:K802"/>
    <mergeCell ref="L801:L802"/>
    <mergeCell ref="M801:M802"/>
    <mergeCell ref="N801:N802"/>
    <mergeCell ref="O801:O802"/>
    <mergeCell ref="P801:P802"/>
    <mergeCell ref="Q801:Q802"/>
    <mergeCell ref="R801:R802"/>
    <mergeCell ref="S801:S802"/>
    <mergeCell ref="T801:T802"/>
    <mergeCell ref="J829:J830"/>
    <mergeCell ref="K829:L829"/>
    <mergeCell ref="A833:A834"/>
    <mergeCell ref="B833:B834"/>
    <mergeCell ref="C833:C834"/>
    <mergeCell ref="D833:G833"/>
    <mergeCell ref="H833:H834"/>
    <mergeCell ref="I833:K833"/>
    <mergeCell ref="L833:M833"/>
    <mergeCell ref="N833:N834"/>
    <mergeCell ref="O833:O834"/>
    <mergeCell ref="P833:P834"/>
    <mergeCell ref="Q833:Q834"/>
    <mergeCell ref="R833:R834"/>
    <mergeCell ref="S833:S834"/>
    <mergeCell ref="T833:T834"/>
    <mergeCell ref="A837:A838"/>
    <mergeCell ref="B837:B838"/>
    <mergeCell ref="C837:C838"/>
    <mergeCell ref="D837:D838"/>
    <mergeCell ref="E837:F837"/>
    <mergeCell ref="G837:G838"/>
    <mergeCell ref="H837:H838"/>
    <mergeCell ref="I837:J837"/>
    <mergeCell ref="K837:K838"/>
    <mergeCell ref="L837:L838"/>
    <mergeCell ref="M837:M838"/>
    <mergeCell ref="N837:N838"/>
    <mergeCell ref="O837:O838"/>
    <mergeCell ref="P837:P838"/>
    <mergeCell ref="Q837:Q838"/>
    <mergeCell ref="R837:R838"/>
    <mergeCell ref="S837:S838"/>
    <mergeCell ref="T837:T838"/>
    <mergeCell ref="B844:R844"/>
    <mergeCell ref="B847:S847"/>
    <mergeCell ref="B848:S848"/>
    <mergeCell ref="A850:A852"/>
    <mergeCell ref="B850:B852"/>
    <mergeCell ref="C850:C852"/>
    <mergeCell ref="D850:F850"/>
    <mergeCell ref="G850:I850"/>
    <mergeCell ref="J850:L850"/>
    <mergeCell ref="M850:M852"/>
    <mergeCell ref="N850:N852"/>
    <mergeCell ref="O850:O852"/>
    <mergeCell ref="P850:P852"/>
    <mergeCell ref="Q850:Q852"/>
    <mergeCell ref="R850:R852"/>
    <mergeCell ref="S850:S852"/>
    <mergeCell ref="T850:T852"/>
    <mergeCell ref="D851:D852"/>
    <mergeCell ref="E851:F851"/>
    <mergeCell ref="G851:G852"/>
    <mergeCell ref="H851:I851"/>
    <mergeCell ref="J851:J852"/>
    <mergeCell ref="K851:L851"/>
    <mergeCell ref="T857:T859"/>
    <mergeCell ref="D858:D859"/>
    <mergeCell ref="E858:E859"/>
    <mergeCell ref="F858:F859"/>
    <mergeCell ref="H858:H859"/>
    <mergeCell ref="A862:A863"/>
    <mergeCell ref="B862:B863"/>
    <mergeCell ref="C862:C863"/>
    <mergeCell ref="D862:D863"/>
    <mergeCell ref="E862:E863"/>
    <mergeCell ref="F862:F863"/>
    <mergeCell ref="G862:G863"/>
    <mergeCell ref="H862:H863"/>
    <mergeCell ref="I862:M862"/>
    <mergeCell ref="N862:N863"/>
    <mergeCell ref="O862:O863"/>
    <mergeCell ref="P862:P863"/>
    <mergeCell ref="Q862:Q863"/>
    <mergeCell ref="R862:R863"/>
    <mergeCell ref="S862:S863"/>
    <mergeCell ref="T862:T863"/>
    <mergeCell ref="B871:R871"/>
    <mergeCell ref="B874:S874"/>
    <mergeCell ref="B875:S875"/>
    <mergeCell ref="A877:A879"/>
    <mergeCell ref="B877:B879"/>
    <mergeCell ref="C877:C879"/>
    <mergeCell ref="D877:F877"/>
    <mergeCell ref="G877:I877"/>
    <mergeCell ref="J877:L877"/>
    <mergeCell ref="M877:M879"/>
    <mergeCell ref="N877:N879"/>
    <mergeCell ref="O877:O879"/>
    <mergeCell ref="P877:P879"/>
    <mergeCell ref="Q877:Q879"/>
    <mergeCell ref="R877:R879"/>
    <mergeCell ref="S877:S879"/>
    <mergeCell ref="T877:T879"/>
    <mergeCell ref="D878:D879"/>
    <mergeCell ref="E878:F878"/>
    <mergeCell ref="G878:G879"/>
    <mergeCell ref="H878:I878"/>
    <mergeCell ref="J878:J879"/>
    <mergeCell ref="K878:L878"/>
    <mergeCell ref="B872:S872"/>
    <mergeCell ref="B873:S873"/>
    <mergeCell ref="A882:A883"/>
    <mergeCell ref="B882:B883"/>
    <mergeCell ref="C882:C883"/>
    <mergeCell ref="D882:G882"/>
    <mergeCell ref="H882:H883"/>
    <mergeCell ref="I882:K882"/>
    <mergeCell ref="L882:M882"/>
    <mergeCell ref="N882:N883"/>
    <mergeCell ref="O882:O883"/>
    <mergeCell ref="P882:P883"/>
    <mergeCell ref="Q882:Q883"/>
    <mergeCell ref="R882:R883"/>
    <mergeCell ref="S882:S883"/>
    <mergeCell ref="T882:T883"/>
    <mergeCell ref="A887:A888"/>
    <mergeCell ref="B887:B888"/>
    <mergeCell ref="C887:C888"/>
    <mergeCell ref="D887:D888"/>
    <mergeCell ref="E887:E888"/>
    <mergeCell ref="F887:F888"/>
    <mergeCell ref="G887:G888"/>
    <mergeCell ref="H887:H888"/>
    <mergeCell ref="I887:M887"/>
    <mergeCell ref="N887:N888"/>
    <mergeCell ref="O887:O888"/>
    <mergeCell ref="P887:P888"/>
    <mergeCell ref="Q887:Q888"/>
    <mergeCell ref="R887:R888"/>
    <mergeCell ref="S887:S888"/>
    <mergeCell ref="T887:T888"/>
    <mergeCell ref="A906:A908"/>
    <mergeCell ref="B906:B908"/>
    <mergeCell ref="C906:C908"/>
    <mergeCell ref="D906:F906"/>
    <mergeCell ref="G906:I906"/>
    <mergeCell ref="J906:L906"/>
    <mergeCell ref="M906:M908"/>
    <mergeCell ref="N906:N908"/>
    <mergeCell ref="O906:O908"/>
    <mergeCell ref="P906:P908"/>
    <mergeCell ref="Q906:Q908"/>
    <mergeCell ref="R906:R908"/>
    <mergeCell ref="S906:S908"/>
    <mergeCell ref="T906:T908"/>
    <mergeCell ref="D907:D908"/>
    <mergeCell ref="E907:F907"/>
    <mergeCell ref="G907:G908"/>
    <mergeCell ref="H907:I907"/>
    <mergeCell ref="J907:J908"/>
    <mergeCell ref="K907:L907"/>
    <mergeCell ref="A911:A912"/>
    <mergeCell ref="B911:B912"/>
    <mergeCell ref="C911:C912"/>
    <mergeCell ref="D911:G911"/>
    <mergeCell ref="H911:H912"/>
    <mergeCell ref="I911:K911"/>
    <mergeCell ref="L911:M911"/>
    <mergeCell ref="N911:N912"/>
    <mergeCell ref="O911:O912"/>
    <mergeCell ref="P911:P912"/>
    <mergeCell ref="Q911:Q912"/>
    <mergeCell ref="R911:R912"/>
    <mergeCell ref="S911:S912"/>
    <mergeCell ref="T913:T914"/>
    <mergeCell ref="A917:A918"/>
    <mergeCell ref="B917:B918"/>
    <mergeCell ref="C917:C918"/>
    <mergeCell ref="D917:D918"/>
    <mergeCell ref="E917:E918"/>
    <mergeCell ref="F917:F918"/>
    <mergeCell ref="G917:G918"/>
    <mergeCell ref="H917:H918"/>
    <mergeCell ref="I917:M917"/>
    <mergeCell ref="N917:N918"/>
    <mergeCell ref="O917:O918"/>
    <mergeCell ref="P917:P918"/>
    <mergeCell ref="Q917:Q918"/>
    <mergeCell ref="R917:R918"/>
    <mergeCell ref="S917:S918"/>
    <mergeCell ref="T917:T918"/>
    <mergeCell ref="B935:R935"/>
    <mergeCell ref="B938:S938"/>
    <mergeCell ref="B939:S939"/>
    <mergeCell ref="A941:A943"/>
    <mergeCell ref="B941:B943"/>
    <mergeCell ref="C941:C943"/>
    <mergeCell ref="D941:F941"/>
    <mergeCell ref="G941:I941"/>
    <mergeCell ref="J941:L941"/>
    <mergeCell ref="M941:M943"/>
    <mergeCell ref="N941:N943"/>
    <mergeCell ref="O941:O943"/>
    <mergeCell ref="P941:P943"/>
    <mergeCell ref="Q941:Q943"/>
    <mergeCell ref="R941:R943"/>
    <mergeCell ref="S941:S943"/>
    <mergeCell ref="T941:T943"/>
    <mergeCell ref="D942:D943"/>
    <mergeCell ref="E942:F942"/>
    <mergeCell ref="G942:G943"/>
    <mergeCell ref="H942:I942"/>
    <mergeCell ref="J942:J943"/>
    <mergeCell ref="K942:L942"/>
    <mergeCell ref="B936:S936"/>
    <mergeCell ref="B937:S937"/>
    <mergeCell ref="A946:A947"/>
    <mergeCell ref="B946:B947"/>
    <mergeCell ref="C946:C947"/>
    <mergeCell ref="D946:G946"/>
    <mergeCell ref="H946:H947"/>
    <mergeCell ref="I946:K946"/>
    <mergeCell ref="L946:M946"/>
    <mergeCell ref="N946:N947"/>
    <mergeCell ref="O946:O947"/>
    <mergeCell ref="P946:P947"/>
    <mergeCell ref="Q946:Q947"/>
    <mergeCell ref="R946:R947"/>
    <mergeCell ref="S946:S947"/>
    <mergeCell ref="T946:T947"/>
    <mergeCell ref="A950:A951"/>
    <mergeCell ref="B950:B951"/>
    <mergeCell ref="C950:C951"/>
    <mergeCell ref="D950:D951"/>
    <mergeCell ref="E950:F950"/>
    <mergeCell ref="G950:G951"/>
    <mergeCell ref="H950:H951"/>
    <mergeCell ref="I950:J950"/>
    <mergeCell ref="K950:K951"/>
    <mergeCell ref="L950:L951"/>
    <mergeCell ref="M950:M951"/>
    <mergeCell ref="N950:N951"/>
    <mergeCell ref="O950:O951"/>
    <mergeCell ref="P950:P951"/>
    <mergeCell ref="Q950:Q951"/>
    <mergeCell ref="R950:R951"/>
    <mergeCell ref="S950:S951"/>
    <mergeCell ref="T950:T951"/>
    <mergeCell ref="A956:A957"/>
    <mergeCell ref="B956:B957"/>
    <mergeCell ref="C956:C957"/>
    <mergeCell ref="D956:D957"/>
    <mergeCell ref="E956:E957"/>
    <mergeCell ref="F956:F957"/>
    <mergeCell ref="G956:G957"/>
    <mergeCell ref="H956:H957"/>
    <mergeCell ref="I956:M956"/>
    <mergeCell ref="N956:N957"/>
    <mergeCell ref="O956:O957"/>
    <mergeCell ref="P956:P957"/>
    <mergeCell ref="Q956:Q957"/>
    <mergeCell ref="R956:R957"/>
    <mergeCell ref="S956:S957"/>
    <mergeCell ref="T956:T957"/>
    <mergeCell ref="B972:R972"/>
    <mergeCell ref="B975:S975"/>
    <mergeCell ref="B976:S976"/>
    <mergeCell ref="A978:A980"/>
    <mergeCell ref="B978:B980"/>
    <mergeCell ref="C978:C980"/>
    <mergeCell ref="D978:F978"/>
    <mergeCell ref="G978:I978"/>
    <mergeCell ref="J978:L978"/>
    <mergeCell ref="M978:M980"/>
    <mergeCell ref="N978:N980"/>
    <mergeCell ref="O978:O980"/>
    <mergeCell ref="P978:P980"/>
    <mergeCell ref="Q978:Q980"/>
    <mergeCell ref="R978:R980"/>
    <mergeCell ref="S978:S980"/>
    <mergeCell ref="T978:T980"/>
    <mergeCell ref="D979:D980"/>
    <mergeCell ref="E979:F979"/>
    <mergeCell ref="G979:G980"/>
    <mergeCell ref="H979:I979"/>
    <mergeCell ref="J979:J980"/>
    <mergeCell ref="K979:L979"/>
    <mergeCell ref="A983:A984"/>
    <mergeCell ref="B983:B984"/>
    <mergeCell ref="C983:C984"/>
    <mergeCell ref="D983:G983"/>
    <mergeCell ref="H983:H984"/>
    <mergeCell ref="I983:K983"/>
    <mergeCell ref="L983:M983"/>
    <mergeCell ref="N983:N984"/>
    <mergeCell ref="O983:O984"/>
    <mergeCell ref="P983:P984"/>
    <mergeCell ref="Q983:Q984"/>
    <mergeCell ref="R983:R984"/>
    <mergeCell ref="S983:S984"/>
    <mergeCell ref="T983:T984"/>
    <mergeCell ref="A987:A988"/>
    <mergeCell ref="B987:B988"/>
    <mergeCell ref="C987:C988"/>
    <mergeCell ref="D987:D988"/>
    <mergeCell ref="E987:F987"/>
    <mergeCell ref="G987:G988"/>
    <mergeCell ref="H987:H988"/>
    <mergeCell ref="I987:J987"/>
    <mergeCell ref="K987:K988"/>
    <mergeCell ref="L987:L988"/>
    <mergeCell ref="M987:M988"/>
    <mergeCell ref="N987:N988"/>
    <mergeCell ref="O987:O988"/>
    <mergeCell ref="P987:P988"/>
    <mergeCell ref="Q987:Q988"/>
    <mergeCell ref="R987:R988"/>
    <mergeCell ref="S987:S988"/>
    <mergeCell ref="T987:T988"/>
    <mergeCell ref="A997:A998"/>
    <mergeCell ref="B997:B998"/>
    <mergeCell ref="C997:C998"/>
    <mergeCell ref="D997:D998"/>
    <mergeCell ref="E997:E998"/>
    <mergeCell ref="F997:F998"/>
    <mergeCell ref="G997:G998"/>
    <mergeCell ref="H997:H998"/>
    <mergeCell ref="I997:M997"/>
    <mergeCell ref="N997:N998"/>
    <mergeCell ref="O997:O998"/>
    <mergeCell ref="P997:P998"/>
    <mergeCell ref="Q997:Q998"/>
    <mergeCell ref="R997:R998"/>
    <mergeCell ref="S997:S998"/>
    <mergeCell ref="T997:T998"/>
    <mergeCell ref="B1015:R1015"/>
    <mergeCell ref="B1018:S1018"/>
    <mergeCell ref="B1019:S1019"/>
    <mergeCell ref="A1021:A1023"/>
    <mergeCell ref="B1021:B1023"/>
    <mergeCell ref="C1021:C1023"/>
    <mergeCell ref="D1021:F1021"/>
    <mergeCell ref="G1021:I1021"/>
    <mergeCell ref="J1021:L1021"/>
    <mergeCell ref="M1021:M1023"/>
    <mergeCell ref="N1021:N1023"/>
    <mergeCell ref="O1021:O1023"/>
    <mergeCell ref="P1021:P1023"/>
    <mergeCell ref="Q1021:Q1023"/>
    <mergeCell ref="R1021:R1023"/>
    <mergeCell ref="S1021:S1023"/>
    <mergeCell ref="T1021:T1023"/>
    <mergeCell ref="D1022:D1023"/>
    <mergeCell ref="E1022:F1022"/>
    <mergeCell ref="G1022:G1023"/>
    <mergeCell ref="H1022:I1022"/>
    <mergeCell ref="J1022:J1023"/>
    <mergeCell ref="K1022:L1022"/>
    <mergeCell ref="B1049:R1049"/>
    <mergeCell ref="B1050:C1050"/>
    <mergeCell ref="A1026:A1027"/>
    <mergeCell ref="B1026:B1027"/>
    <mergeCell ref="C1026:C1027"/>
    <mergeCell ref="D1026:G1026"/>
    <mergeCell ref="H1026:H1027"/>
    <mergeCell ref="I1026:K1026"/>
    <mergeCell ref="L1026:M1026"/>
    <mergeCell ref="N1026:N1027"/>
    <mergeCell ref="O1026:O1027"/>
    <mergeCell ref="P1026:P1027"/>
    <mergeCell ref="Q1026:Q1027"/>
    <mergeCell ref="R1026:R1027"/>
    <mergeCell ref="S1026:S1027"/>
    <mergeCell ref="T1028:T1029"/>
    <mergeCell ref="A1032:A1033"/>
    <mergeCell ref="B1032:B1033"/>
    <mergeCell ref="C1032:C1033"/>
    <mergeCell ref="D1032:D1033"/>
    <mergeCell ref="E1032:E1033"/>
    <mergeCell ref="F1032:F1033"/>
    <mergeCell ref="G1032:G1033"/>
    <mergeCell ref="H1032:H1033"/>
    <mergeCell ref="I1032:M1032"/>
    <mergeCell ref="N1032:N1033"/>
    <mergeCell ref="O1032:O1033"/>
    <mergeCell ref="P1032:P1033"/>
    <mergeCell ref="Q1032:Q1033"/>
    <mergeCell ref="R1032:R1033"/>
    <mergeCell ref="S1032:S1033"/>
    <mergeCell ref="T1032:T1033"/>
  </mergeCells>
  <phoneticPr fontId="24" type="noConversion"/>
  <pageMargins left="0.14230271668822769" right="0.11384217335058215" top="9.9611901681759374E-2" bottom="0.23" header="0" footer="0"/>
  <pageSetup paperSize="9" scale="45" fitToHeight="0" orientation="landscape" r:id="rId1"/>
  <rowBreaks count="44" manualBreakCount="44">
    <brk id="40" max="19" man="1"/>
    <brk id="99" max="16383" man="1"/>
    <brk id="150" max="16383" man="1"/>
    <brk id="209" max="16383" man="1"/>
    <brk id="239" max="16383" man="1"/>
    <brk id="274" max="19" man="1"/>
    <brk id="293" max="19" man="1"/>
    <brk id="317" max="19" man="1"/>
    <brk id="325" max="19" man="1"/>
    <brk id="349" max="19" man="1"/>
    <brk id="365" max="19" man="1"/>
    <brk id="374" max="19" man="1"/>
    <brk id="400" max="19" man="1"/>
    <brk id="425" max="19" man="1"/>
    <brk id="454" max="19" man="1"/>
    <brk id="457" max="19" man="1"/>
    <brk id="488" max="19" man="1"/>
    <brk id="515" max="19" man="1"/>
    <brk id="530" max="19" man="1"/>
    <brk id="557" max="19" man="1"/>
    <brk id="564" max="19" man="1"/>
    <brk id="587" max="19" man="1"/>
    <brk id="604" max="19" man="1"/>
    <brk id="628" max="19" man="1"/>
    <brk id="653" max="19" man="1"/>
    <brk id="659" max="19" man="1"/>
    <brk id="684" max="19" man="1"/>
    <brk id="699" max="19" man="1"/>
    <brk id="704" max="19" man="1"/>
    <brk id="746" max="19" man="1"/>
    <brk id="760" max="19" man="1"/>
    <brk id="786" max="19" man="1"/>
    <brk id="811" max="19" man="1"/>
    <brk id="822" max="19" man="1"/>
    <brk id="844" max="19" man="1"/>
    <brk id="871" max="19" man="1"/>
    <brk id="900" max="19" man="1"/>
    <brk id="926" max="19" man="1"/>
    <brk id="935" max="19" man="1"/>
    <brk id="961" max="19" man="1"/>
    <brk id="972" max="19" man="1"/>
    <brk id="1013" max="16383" man="1"/>
    <brk id="1039" max="19" man="1"/>
    <brk id="1049" max="1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1"/>
  <sheetViews>
    <sheetView workbookViewId="0">
      <selection activeCell="C30" sqref="C30"/>
    </sheetView>
  </sheetViews>
  <sheetFormatPr defaultRowHeight="18.75" x14ac:dyDescent="0.3"/>
  <cols>
    <col min="1" max="1" width="5.09765625" customWidth="1"/>
    <col min="2" max="2" width="30.296875" customWidth="1"/>
    <col min="3" max="3" width="30.09765625" customWidth="1"/>
    <col min="4" max="4" width="10.09765625" customWidth="1"/>
  </cols>
  <sheetData>
    <row r="1" spans="1:4" x14ac:dyDescent="0.3">
      <c r="A1" s="923" t="s">
        <v>750</v>
      </c>
      <c r="B1" s="923"/>
      <c r="C1" s="923"/>
      <c r="D1" s="923"/>
    </row>
    <row r="2" spans="1:4" x14ac:dyDescent="0.3">
      <c r="A2" s="58"/>
      <c r="B2" s="58"/>
      <c r="C2" s="58"/>
      <c r="D2" s="58"/>
    </row>
    <row r="3" spans="1:4" ht="40.5" customHeight="1" x14ac:dyDescent="0.3">
      <c r="A3" s="59" t="s">
        <v>749</v>
      </c>
      <c r="B3" s="56" t="s">
        <v>6</v>
      </c>
      <c r="C3" s="56" t="s">
        <v>7</v>
      </c>
      <c r="D3" s="61" t="s">
        <v>15</v>
      </c>
    </row>
    <row r="4" spans="1:4" ht="46.5" customHeight="1" x14ac:dyDescent="0.3">
      <c r="A4" s="62">
        <v>1</v>
      </c>
      <c r="B4" s="48" t="s">
        <v>752</v>
      </c>
      <c r="C4" s="52" t="s">
        <v>20</v>
      </c>
      <c r="D4" s="61"/>
    </row>
    <row r="5" spans="1:4" ht="75" x14ac:dyDescent="0.3">
      <c r="A5" s="62">
        <v>2</v>
      </c>
      <c r="B5" s="48" t="s">
        <v>139</v>
      </c>
      <c r="C5" s="52" t="s">
        <v>20</v>
      </c>
      <c r="D5" s="61"/>
    </row>
    <row r="6" spans="1:4" ht="96" customHeight="1" x14ac:dyDescent="0.3">
      <c r="A6" s="62">
        <v>3</v>
      </c>
      <c r="B6" s="63" t="s">
        <v>195</v>
      </c>
      <c r="C6" s="64" t="s">
        <v>196</v>
      </c>
      <c r="D6" s="57"/>
    </row>
    <row r="7" spans="1:4" ht="93.75" x14ac:dyDescent="0.3">
      <c r="A7" s="62">
        <v>4</v>
      </c>
      <c r="B7" s="65" t="s">
        <v>232</v>
      </c>
      <c r="C7" s="66" t="s">
        <v>233</v>
      </c>
      <c r="D7" s="60"/>
    </row>
    <row r="8" spans="1:4" ht="90.75" customHeight="1" x14ac:dyDescent="0.3">
      <c r="A8" s="62">
        <v>5</v>
      </c>
      <c r="B8" s="48" t="s">
        <v>281</v>
      </c>
      <c r="C8" s="67" t="s">
        <v>282</v>
      </c>
      <c r="D8" s="57"/>
    </row>
    <row r="9" spans="1:4" ht="106.5" customHeight="1" x14ac:dyDescent="0.3">
      <c r="A9" s="62">
        <v>6</v>
      </c>
      <c r="B9" s="48" t="s">
        <v>298</v>
      </c>
      <c r="C9" s="67" t="s">
        <v>299</v>
      </c>
      <c r="D9" s="57"/>
    </row>
    <row r="10" spans="1:4" ht="91.5" customHeight="1" x14ac:dyDescent="0.3">
      <c r="A10" s="62">
        <v>7</v>
      </c>
      <c r="B10" s="48" t="s">
        <v>312</v>
      </c>
      <c r="C10" s="67" t="s">
        <v>313</v>
      </c>
      <c r="D10" s="57"/>
    </row>
    <row r="11" spans="1:4" ht="77.25" customHeight="1" x14ac:dyDescent="0.3">
      <c r="A11" s="62">
        <v>8</v>
      </c>
      <c r="B11" s="48" t="s">
        <v>751</v>
      </c>
      <c r="C11" s="67" t="s">
        <v>328</v>
      </c>
      <c r="D11" s="57"/>
    </row>
    <row r="12" spans="1:4" ht="65.25" customHeight="1" x14ac:dyDescent="0.3">
      <c r="A12" s="62">
        <v>9</v>
      </c>
      <c r="B12" s="48" t="s">
        <v>361</v>
      </c>
      <c r="C12" s="67" t="s">
        <v>362</v>
      </c>
      <c r="D12" s="57"/>
    </row>
    <row r="13" spans="1:4" ht="78.75" customHeight="1" x14ac:dyDescent="0.3">
      <c r="A13" s="62">
        <v>10</v>
      </c>
      <c r="B13" s="48" t="s">
        <v>369</v>
      </c>
      <c r="C13" s="67" t="s">
        <v>370</v>
      </c>
      <c r="D13" s="57"/>
    </row>
    <row r="14" spans="1:4" ht="115.5" customHeight="1" x14ac:dyDescent="0.3">
      <c r="A14" s="62">
        <v>11</v>
      </c>
      <c r="B14" s="48" t="s">
        <v>377</v>
      </c>
      <c r="C14" s="67" t="s">
        <v>378</v>
      </c>
      <c r="D14" s="57"/>
    </row>
    <row r="15" spans="1:4" ht="93.75" x14ac:dyDescent="0.3">
      <c r="A15" s="62">
        <v>12</v>
      </c>
      <c r="B15" s="48" t="s">
        <v>390</v>
      </c>
      <c r="C15" s="67" t="s">
        <v>391</v>
      </c>
      <c r="D15" s="57"/>
    </row>
    <row r="16" spans="1:4" ht="48.75" customHeight="1" x14ac:dyDescent="0.3">
      <c r="A16" s="62">
        <v>13</v>
      </c>
      <c r="B16" s="48" t="s">
        <v>399</v>
      </c>
      <c r="C16" s="67" t="s">
        <v>400</v>
      </c>
      <c r="D16" s="57"/>
    </row>
    <row r="17" spans="1:4" ht="88.5" customHeight="1" x14ac:dyDescent="0.3">
      <c r="A17" s="62">
        <v>14</v>
      </c>
      <c r="B17" s="48" t="s">
        <v>426</v>
      </c>
      <c r="C17" s="67" t="s">
        <v>427</v>
      </c>
      <c r="D17" s="57"/>
    </row>
    <row r="18" spans="1:4" ht="92.25" customHeight="1" x14ac:dyDescent="0.3">
      <c r="A18" s="62">
        <v>15</v>
      </c>
      <c r="B18" s="48" t="s">
        <v>434</v>
      </c>
      <c r="C18" s="67" t="s">
        <v>435</v>
      </c>
      <c r="D18" s="57"/>
    </row>
    <row r="19" spans="1:4" ht="56.25" x14ac:dyDescent="0.3">
      <c r="A19" s="62">
        <v>16</v>
      </c>
      <c r="B19" s="48" t="s">
        <v>451</v>
      </c>
      <c r="C19" s="67" t="s">
        <v>452</v>
      </c>
      <c r="D19" s="57"/>
    </row>
    <row r="20" spans="1:4" ht="49.5" customHeight="1" x14ac:dyDescent="0.3">
      <c r="A20" s="62">
        <v>17</v>
      </c>
      <c r="B20" s="48" t="s">
        <v>458</v>
      </c>
      <c r="C20" s="67" t="s">
        <v>459</v>
      </c>
      <c r="D20" s="57"/>
    </row>
    <row r="21" spans="1:4" ht="75" x14ac:dyDescent="0.3">
      <c r="A21" s="62">
        <v>18</v>
      </c>
      <c r="B21" s="48" t="s">
        <v>472</v>
      </c>
      <c r="C21" s="67" t="s">
        <v>473</v>
      </c>
      <c r="D21" s="57"/>
    </row>
    <row r="22" spans="1:4" ht="37.5" x14ac:dyDescent="0.3">
      <c r="A22" s="62">
        <v>19</v>
      </c>
      <c r="B22" s="48" t="s">
        <v>499</v>
      </c>
      <c r="C22" s="67" t="s">
        <v>500</v>
      </c>
      <c r="D22" s="57"/>
    </row>
    <row r="23" spans="1:4" ht="89.25" customHeight="1" x14ac:dyDescent="0.3">
      <c r="A23" s="62">
        <v>20</v>
      </c>
      <c r="B23" s="48" t="s">
        <v>523</v>
      </c>
      <c r="C23" s="67" t="s">
        <v>748</v>
      </c>
      <c r="D23" s="57"/>
    </row>
    <row r="24" spans="1:4" ht="85.5" customHeight="1" x14ac:dyDescent="0.3">
      <c r="A24" s="62">
        <v>21</v>
      </c>
      <c r="B24" s="48" t="s">
        <v>531</v>
      </c>
      <c r="C24" s="67" t="s">
        <v>747</v>
      </c>
      <c r="D24" s="57"/>
    </row>
    <row r="25" spans="1:4" ht="37.5" x14ac:dyDescent="0.3">
      <c r="A25" s="62">
        <v>22</v>
      </c>
      <c r="B25" s="48" t="s">
        <v>544</v>
      </c>
      <c r="C25" s="67" t="s">
        <v>746</v>
      </c>
      <c r="D25" s="57"/>
    </row>
    <row r="26" spans="1:4" ht="57" customHeight="1" x14ac:dyDescent="0.3">
      <c r="A26" s="62">
        <v>23</v>
      </c>
      <c r="B26" s="48" t="s">
        <v>550</v>
      </c>
      <c r="C26" s="67" t="s">
        <v>741</v>
      </c>
      <c r="D26" s="57"/>
    </row>
    <row r="27" spans="1:4" ht="89.25" customHeight="1" x14ac:dyDescent="0.3">
      <c r="A27" s="62">
        <v>24</v>
      </c>
      <c r="B27" s="48" t="s">
        <v>559</v>
      </c>
      <c r="C27" s="67" t="s">
        <v>745</v>
      </c>
      <c r="D27" s="57"/>
    </row>
    <row r="28" spans="1:4" ht="75" x14ac:dyDescent="0.3">
      <c r="A28" s="62">
        <v>25</v>
      </c>
      <c r="B28" s="48" t="s">
        <v>574</v>
      </c>
      <c r="C28" s="67" t="s">
        <v>744</v>
      </c>
      <c r="D28" s="57"/>
    </row>
    <row r="29" spans="1:4" ht="93" customHeight="1" x14ac:dyDescent="0.3">
      <c r="A29" s="62">
        <v>26</v>
      </c>
      <c r="B29" s="48" t="s">
        <v>594</v>
      </c>
      <c r="C29" s="67" t="s">
        <v>753</v>
      </c>
      <c r="D29" s="57"/>
    </row>
    <row r="30" spans="1:4" ht="105" customHeight="1" x14ac:dyDescent="0.3">
      <c r="A30" s="62">
        <v>27</v>
      </c>
      <c r="B30" s="48" t="s">
        <v>614</v>
      </c>
      <c r="C30" s="67" t="s">
        <v>743</v>
      </c>
      <c r="D30" s="57"/>
    </row>
    <row r="31" spans="1:4" ht="75.75" customHeight="1" x14ac:dyDescent="0.3">
      <c r="A31" s="62">
        <v>28</v>
      </c>
      <c r="B31" s="48" t="s">
        <v>628</v>
      </c>
      <c r="C31" s="67" t="s">
        <v>742</v>
      </c>
      <c r="D31" s="57"/>
    </row>
  </sheetData>
  <mergeCells count="1">
    <mergeCell ref="A1:D1"/>
  </mergeCells>
  <pageMargins left="0.23" right="0.43" top="0.25" bottom="0.33"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T94"/>
  <sheetViews>
    <sheetView view="pageBreakPreview" topLeftCell="A79" zoomScale="70" zoomScaleNormal="100" zoomScaleSheetLayoutView="70" workbookViewId="0">
      <selection activeCell="C60" sqref="C60"/>
    </sheetView>
  </sheetViews>
  <sheetFormatPr defaultColWidth="10.09765625" defaultRowHeight="15" customHeight="1" x14ac:dyDescent="0.3"/>
  <cols>
    <col min="1" max="1" width="6.09765625" customWidth="1"/>
    <col min="2" max="2" width="23.8984375" customWidth="1"/>
    <col min="3" max="3" width="29.796875" customWidth="1"/>
    <col min="8" max="8" width="7.8984375" customWidth="1"/>
    <col min="9" max="9" width="9.59765625" customWidth="1"/>
    <col min="10" max="10" width="10.5" customWidth="1"/>
    <col min="12" max="12" width="13.09765625" customWidth="1"/>
    <col min="13" max="13" width="10.59765625" customWidth="1"/>
    <col min="14" max="14" width="9.09765625" customWidth="1"/>
    <col min="16" max="16" width="12.59765625" customWidth="1"/>
    <col min="17" max="17" width="14" customWidth="1"/>
    <col min="18" max="18" width="12.296875" customWidth="1"/>
    <col min="19" max="19" width="14.59765625" customWidth="1"/>
    <col min="20" max="20" width="12.796875" customWidth="1"/>
  </cols>
  <sheetData>
    <row r="1" spans="1:20" ht="25.5" customHeight="1" x14ac:dyDescent="0.3">
      <c r="A1" s="1"/>
      <c r="B1" s="939" t="s">
        <v>660</v>
      </c>
      <c r="C1" s="919"/>
      <c r="D1" s="919"/>
      <c r="E1" s="919"/>
      <c r="F1" s="919"/>
      <c r="G1" s="919"/>
      <c r="H1" s="919"/>
      <c r="I1" s="919"/>
      <c r="J1" s="919"/>
      <c r="K1" s="919"/>
      <c r="L1" s="919"/>
      <c r="M1" s="919"/>
      <c r="N1" s="919"/>
      <c r="O1" s="919"/>
      <c r="P1" s="919"/>
      <c r="Q1" s="919"/>
      <c r="R1" s="919"/>
      <c r="S1" s="920"/>
      <c r="T1" s="1"/>
    </row>
    <row r="2" spans="1:20" ht="25.5" customHeight="1" x14ac:dyDescent="0.3">
      <c r="A2" s="1"/>
      <c r="B2" s="921" t="s">
        <v>1</v>
      </c>
      <c r="C2" s="919"/>
      <c r="D2" s="919"/>
      <c r="E2" s="919"/>
      <c r="F2" s="919"/>
      <c r="G2" s="919"/>
      <c r="H2" s="919"/>
      <c r="I2" s="919"/>
      <c r="J2" s="919"/>
      <c r="K2" s="919"/>
      <c r="L2" s="919"/>
      <c r="M2" s="919"/>
      <c r="N2" s="919"/>
      <c r="O2" s="919"/>
      <c r="P2" s="919"/>
      <c r="Q2" s="919"/>
      <c r="R2" s="919"/>
      <c r="S2" s="920"/>
      <c r="T2" s="1"/>
    </row>
    <row r="3" spans="1:20" ht="25.5" customHeight="1" x14ac:dyDescent="0.3">
      <c r="A3" s="1"/>
      <c r="B3" s="921" t="s">
        <v>2</v>
      </c>
      <c r="C3" s="919"/>
      <c r="D3" s="919"/>
      <c r="E3" s="919"/>
      <c r="F3" s="919"/>
      <c r="G3" s="919"/>
      <c r="H3" s="919"/>
      <c r="I3" s="919"/>
      <c r="J3" s="919"/>
      <c r="K3" s="919"/>
      <c r="L3" s="919"/>
      <c r="M3" s="919"/>
      <c r="N3" s="919"/>
      <c r="O3" s="919"/>
      <c r="P3" s="919"/>
      <c r="Q3" s="919"/>
      <c r="R3" s="919"/>
      <c r="S3" s="920"/>
      <c r="T3" s="1"/>
    </row>
    <row r="4" spans="1:20" ht="25.5" customHeight="1" x14ac:dyDescent="0.3">
      <c r="A4" s="2"/>
      <c r="B4" s="922" t="s">
        <v>989</v>
      </c>
      <c r="C4" s="919"/>
      <c r="D4" s="919"/>
      <c r="E4" s="919"/>
      <c r="F4" s="919"/>
      <c r="G4" s="919"/>
      <c r="H4" s="919"/>
      <c r="I4" s="919"/>
      <c r="J4" s="919"/>
      <c r="K4" s="919"/>
      <c r="L4" s="919"/>
      <c r="M4" s="919"/>
      <c r="N4" s="919"/>
      <c r="O4" s="919"/>
      <c r="P4" s="919"/>
      <c r="Q4" s="919"/>
      <c r="R4" s="919"/>
      <c r="S4" s="920"/>
      <c r="T4" s="2"/>
    </row>
    <row r="5" spans="1:20" s="19" customFormat="1" ht="20.25" thickBot="1" x14ac:dyDescent="0.35">
      <c r="A5" s="272" t="s">
        <v>3</v>
      </c>
      <c r="B5" s="273" t="s">
        <v>4</v>
      </c>
      <c r="C5" s="233"/>
      <c r="D5" s="233"/>
      <c r="E5" s="233"/>
      <c r="F5" s="233"/>
      <c r="G5" s="233"/>
      <c r="H5" s="233"/>
      <c r="I5" s="394"/>
      <c r="J5" s="233"/>
      <c r="K5" s="235"/>
      <c r="L5" s="235"/>
      <c r="M5" s="233"/>
      <c r="N5" s="235"/>
      <c r="O5" s="233"/>
      <c r="P5" s="236"/>
      <c r="Q5" s="233"/>
      <c r="R5" s="233"/>
      <c r="S5" s="237"/>
      <c r="T5" s="233"/>
    </row>
    <row r="6" spans="1:20" s="19" customFormat="1" ht="36.75" customHeight="1" x14ac:dyDescent="0.3">
      <c r="A6" s="476" t="s">
        <v>5</v>
      </c>
      <c r="B6" s="477" t="s">
        <v>6</v>
      </c>
      <c r="C6" s="477" t="s">
        <v>7</v>
      </c>
      <c r="D6" s="478" t="s">
        <v>959</v>
      </c>
      <c r="E6" s="479"/>
      <c r="F6" s="480"/>
      <c r="G6" s="478" t="s">
        <v>960</v>
      </c>
      <c r="H6" s="479"/>
      <c r="I6" s="480"/>
      <c r="J6" s="478" t="s">
        <v>961</v>
      </c>
      <c r="K6" s="479"/>
      <c r="L6" s="480"/>
      <c r="M6" s="481" t="s">
        <v>8</v>
      </c>
      <c r="N6" s="678" t="s">
        <v>9</v>
      </c>
      <c r="O6" s="433" t="s">
        <v>10</v>
      </c>
      <c r="P6" s="429" t="s">
        <v>11</v>
      </c>
      <c r="Q6" s="429" t="s">
        <v>12</v>
      </c>
      <c r="R6" s="429" t="s">
        <v>13</v>
      </c>
      <c r="S6" s="431" t="s">
        <v>14</v>
      </c>
      <c r="T6" s="430" t="s">
        <v>15</v>
      </c>
    </row>
    <row r="7" spans="1:20" s="19" customFormat="1" ht="46.5" customHeight="1" x14ac:dyDescent="0.3">
      <c r="A7" s="482"/>
      <c r="B7" s="483"/>
      <c r="C7" s="483"/>
      <c r="D7" s="477" t="s">
        <v>16</v>
      </c>
      <c r="E7" s="478" t="s">
        <v>17</v>
      </c>
      <c r="F7" s="480"/>
      <c r="G7" s="477" t="s">
        <v>16</v>
      </c>
      <c r="H7" s="478" t="s">
        <v>17</v>
      </c>
      <c r="I7" s="480"/>
      <c r="J7" s="484" t="s">
        <v>18</v>
      </c>
      <c r="K7" s="478" t="s">
        <v>17</v>
      </c>
      <c r="L7" s="480"/>
      <c r="M7" s="485"/>
      <c r="N7" s="679"/>
      <c r="O7" s="680"/>
      <c r="P7" s="681"/>
      <c r="Q7" s="681"/>
      <c r="R7" s="681"/>
      <c r="S7" s="682"/>
      <c r="T7" s="683"/>
    </row>
    <row r="8" spans="1:20" s="19" customFormat="1" ht="59.25" customHeight="1" x14ac:dyDescent="0.3">
      <c r="A8" s="486"/>
      <c r="B8" s="487"/>
      <c r="C8" s="487"/>
      <c r="D8" s="487"/>
      <c r="E8" s="425" t="s">
        <v>962</v>
      </c>
      <c r="F8" s="425" t="s">
        <v>963</v>
      </c>
      <c r="G8" s="487"/>
      <c r="H8" s="425" t="s">
        <v>962</v>
      </c>
      <c r="I8" s="425" t="s">
        <v>963</v>
      </c>
      <c r="J8" s="488"/>
      <c r="K8" s="425" t="s">
        <v>962</v>
      </c>
      <c r="L8" s="425" t="s">
        <v>963</v>
      </c>
      <c r="M8" s="489"/>
      <c r="N8" s="684"/>
      <c r="O8" s="685"/>
      <c r="P8" s="224"/>
      <c r="Q8" s="224"/>
      <c r="R8" s="224"/>
      <c r="S8" s="251"/>
      <c r="T8" s="686"/>
    </row>
    <row r="9" spans="1:20" s="19" customFormat="1" ht="117" customHeight="1" x14ac:dyDescent="0.3">
      <c r="A9" s="187" t="s">
        <v>19</v>
      </c>
      <c r="B9" s="190" t="s">
        <v>988</v>
      </c>
      <c r="C9" s="438" t="s">
        <v>661</v>
      </c>
      <c r="D9" s="191"/>
      <c r="E9" s="191"/>
      <c r="F9" s="191"/>
      <c r="G9" s="191"/>
      <c r="H9" s="191"/>
      <c r="I9" s="191"/>
      <c r="J9" s="191">
        <v>217.5</v>
      </c>
      <c r="K9" s="191">
        <v>0</v>
      </c>
      <c r="L9" s="191">
        <f>J9</f>
        <v>217.5</v>
      </c>
      <c r="M9" s="193"/>
      <c r="N9" s="377"/>
      <c r="O9" s="142" t="s">
        <v>21</v>
      </c>
      <c r="P9" s="144" t="s">
        <v>140</v>
      </c>
      <c r="Q9" s="144" t="s">
        <v>23</v>
      </c>
      <c r="R9" s="138" t="s">
        <v>24</v>
      </c>
      <c r="S9" s="138" t="s">
        <v>25</v>
      </c>
      <c r="T9" s="184" t="s">
        <v>629</v>
      </c>
    </row>
    <row r="10" spans="1:20" s="19" customFormat="1" ht="19.5" x14ac:dyDescent="0.3">
      <c r="A10" s="272" t="s">
        <v>27</v>
      </c>
      <c r="B10" s="300" t="s">
        <v>662</v>
      </c>
      <c r="C10" s="301"/>
      <c r="D10" s="301"/>
      <c r="E10" s="301"/>
      <c r="F10" s="301"/>
      <c r="G10" s="301"/>
      <c r="H10" s="301"/>
      <c r="I10" s="378"/>
      <c r="J10" s="301"/>
      <c r="K10" s="303"/>
      <c r="L10" s="303"/>
      <c r="M10" s="301"/>
      <c r="N10" s="235"/>
      <c r="O10" s="233"/>
      <c r="P10" s="236"/>
      <c r="Q10" s="233"/>
      <c r="R10" s="233"/>
      <c r="S10" s="237">
        <f>S14</f>
        <v>223373000</v>
      </c>
      <c r="T10" s="233"/>
    </row>
    <row r="11" spans="1:20" s="19" customFormat="1" ht="34.5" customHeight="1" x14ac:dyDescent="0.3">
      <c r="A11" s="687" t="s">
        <v>5</v>
      </c>
      <c r="B11" s="477" t="s">
        <v>663</v>
      </c>
      <c r="C11" s="477" t="s">
        <v>664</v>
      </c>
      <c r="D11" s="478" t="s">
        <v>665</v>
      </c>
      <c r="E11" s="479"/>
      <c r="F11" s="479"/>
      <c r="G11" s="480"/>
      <c r="H11" s="477" t="s">
        <v>666</v>
      </c>
      <c r="I11" s="688" t="s">
        <v>667</v>
      </c>
      <c r="J11" s="689"/>
      <c r="K11" s="690"/>
      <c r="L11" s="691" t="s">
        <v>668</v>
      </c>
      <c r="M11" s="692"/>
      <c r="N11" s="693" t="s">
        <v>43</v>
      </c>
      <c r="O11" s="443" t="s">
        <v>669</v>
      </c>
      <c r="P11" s="447" t="s">
        <v>670</v>
      </c>
      <c r="Q11" s="447" t="s">
        <v>42</v>
      </c>
      <c r="R11" s="443" t="s">
        <v>671</v>
      </c>
      <c r="S11" s="443" t="s">
        <v>44</v>
      </c>
      <c r="T11" s="428" t="s">
        <v>15</v>
      </c>
    </row>
    <row r="12" spans="1:20" s="19" customFormat="1" ht="108.75" customHeight="1" x14ac:dyDescent="0.3">
      <c r="A12" s="486"/>
      <c r="B12" s="487"/>
      <c r="C12" s="487"/>
      <c r="D12" s="425" t="s">
        <v>672</v>
      </c>
      <c r="E12" s="425" t="s">
        <v>673</v>
      </c>
      <c r="F12" s="425" t="s">
        <v>986</v>
      </c>
      <c r="G12" s="425" t="s">
        <v>17</v>
      </c>
      <c r="H12" s="487"/>
      <c r="I12" s="246" t="s">
        <v>674</v>
      </c>
      <c r="J12" s="246" t="s">
        <v>675</v>
      </c>
      <c r="K12" s="191" t="s">
        <v>676</v>
      </c>
      <c r="L12" s="191" t="s">
        <v>677</v>
      </c>
      <c r="M12" s="193" t="s">
        <v>678</v>
      </c>
      <c r="N12" s="694"/>
      <c r="O12" s="251"/>
      <c r="P12" s="224"/>
      <c r="Q12" s="224"/>
      <c r="R12" s="251"/>
      <c r="S12" s="251"/>
      <c r="T12" s="686"/>
    </row>
    <row r="13" spans="1:20" s="19" customFormat="1" ht="108.75" customHeight="1" x14ac:dyDescent="0.3">
      <c r="A13" s="379" t="s">
        <v>19</v>
      </c>
      <c r="B13" s="380" t="s">
        <v>679</v>
      </c>
      <c r="C13" s="64" t="s">
        <v>987</v>
      </c>
      <c r="D13" s="246" t="s">
        <v>122</v>
      </c>
      <c r="E13" s="246" t="s">
        <v>680</v>
      </c>
      <c r="F13" s="191">
        <v>217.5</v>
      </c>
      <c r="G13" s="192" t="s">
        <v>681</v>
      </c>
      <c r="H13" s="192"/>
      <c r="I13" s="191">
        <v>217.5</v>
      </c>
      <c r="J13" s="191">
        <v>0</v>
      </c>
      <c r="K13" s="191">
        <f>I13+J13</f>
        <v>217.5</v>
      </c>
      <c r="L13" s="191">
        <v>0</v>
      </c>
      <c r="M13" s="193"/>
      <c r="N13" s="381">
        <v>1</v>
      </c>
      <c r="O13" s="138">
        <v>1</v>
      </c>
      <c r="P13" s="144">
        <v>1027000</v>
      </c>
      <c r="Q13" s="144">
        <f>+ROUND((P13*N13*K13),-3)</f>
        <v>223373000</v>
      </c>
      <c r="R13" s="144">
        <f>-ROUND((38000*J13*0.5%),-3)</f>
        <v>0</v>
      </c>
      <c r="S13" s="144">
        <f>+Q13+R13</f>
        <v>223373000</v>
      </c>
      <c r="T13" s="184" t="s">
        <v>682</v>
      </c>
    </row>
    <row r="14" spans="1:20" s="19" customFormat="1" ht="18.75" x14ac:dyDescent="0.3">
      <c r="A14" s="695"/>
      <c r="B14" s="382" t="s">
        <v>55</v>
      </c>
      <c r="C14" s="382"/>
      <c r="D14" s="383"/>
      <c r="E14" s="427"/>
      <c r="F14" s="436">
        <f>SUM(F13)</f>
        <v>217.5</v>
      </c>
      <c r="G14" s="189"/>
      <c r="H14" s="189"/>
      <c r="I14" s="436">
        <f>+SUM(I13)</f>
        <v>217.5</v>
      </c>
      <c r="J14" s="436">
        <f>+SUM(J13)</f>
        <v>0</v>
      </c>
      <c r="K14" s="436">
        <f>+SUM(K13)</f>
        <v>217.5</v>
      </c>
      <c r="L14" s="436">
        <f>+SUM(L13)</f>
        <v>0</v>
      </c>
      <c r="M14" s="426"/>
      <c r="N14" s="384"/>
      <c r="O14" s="167"/>
      <c r="P14" s="45"/>
      <c r="Q14" s="45">
        <f>Q13</f>
        <v>223373000</v>
      </c>
      <c r="R14" s="45">
        <f>R13</f>
        <v>0</v>
      </c>
      <c r="S14" s="45">
        <f>S13</f>
        <v>223373000</v>
      </c>
      <c r="T14" s="185"/>
    </row>
    <row r="15" spans="1:20" s="19" customFormat="1" ht="19.5" x14ac:dyDescent="0.3">
      <c r="A15" s="299" t="s">
        <v>28</v>
      </c>
      <c r="B15" s="300" t="s">
        <v>315</v>
      </c>
      <c r="C15" s="301"/>
      <c r="D15" s="301"/>
      <c r="E15" s="301"/>
      <c r="F15" s="301"/>
      <c r="G15" s="301"/>
      <c r="H15" s="301"/>
      <c r="I15" s="378"/>
      <c r="J15" s="301"/>
      <c r="K15" s="303"/>
      <c r="L15" s="303"/>
      <c r="M15" s="301"/>
      <c r="N15" s="235"/>
      <c r="O15" s="233"/>
      <c r="P15" s="236"/>
      <c r="Q15" s="237"/>
      <c r="R15" s="237"/>
      <c r="S15" s="237"/>
      <c r="T15" s="233"/>
    </row>
    <row r="16" spans="1:20" s="19" customFormat="1" ht="19.5" x14ac:dyDescent="0.3">
      <c r="A16" s="272" t="s">
        <v>56</v>
      </c>
      <c r="B16" s="300" t="s">
        <v>201</v>
      </c>
      <c r="C16" s="301"/>
      <c r="D16" s="301"/>
      <c r="E16" s="301"/>
      <c r="F16" s="301"/>
      <c r="G16" s="301"/>
      <c r="H16" s="301"/>
      <c r="I16" s="378"/>
      <c r="J16" s="301"/>
      <c r="K16" s="303"/>
      <c r="L16" s="303"/>
      <c r="M16" s="301"/>
      <c r="N16" s="235"/>
      <c r="O16" s="233"/>
      <c r="P16" s="236"/>
      <c r="Q16" s="233"/>
      <c r="R16" s="233"/>
      <c r="S16" s="237">
        <f>S28</f>
        <v>222451000</v>
      </c>
      <c r="T16" s="233"/>
    </row>
    <row r="17" spans="1:20" s="19" customFormat="1" ht="18.75" x14ac:dyDescent="0.3">
      <c r="A17" s="696"/>
      <c r="B17" s="697" t="s">
        <v>51</v>
      </c>
      <c r="C17" s="697" t="s">
        <v>58</v>
      </c>
      <c r="D17" s="698" t="s">
        <v>59</v>
      </c>
      <c r="E17" s="484" t="s">
        <v>60</v>
      </c>
      <c r="F17" s="484" t="s">
        <v>61</v>
      </c>
      <c r="G17" s="484" t="s">
        <v>62</v>
      </c>
      <c r="H17" s="484" t="s">
        <v>63</v>
      </c>
      <c r="I17" s="699" t="s">
        <v>64</v>
      </c>
      <c r="J17" s="700"/>
      <c r="K17" s="700"/>
      <c r="L17" s="700"/>
      <c r="M17" s="701"/>
      <c r="N17" s="702" t="s">
        <v>3</v>
      </c>
      <c r="O17" s="452" t="s">
        <v>65</v>
      </c>
      <c r="P17" s="452" t="s">
        <v>66</v>
      </c>
      <c r="Q17" s="452" t="s">
        <v>67</v>
      </c>
      <c r="R17" s="449" t="s">
        <v>68</v>
      </c>
      <c r="S17" s="449" t="s">
        <v>69</v>
      </c>
      <c r="T17" s="449" t="s">
        <v>70</v>
      </c>
    </row>
    <row r="18" spans="1:20" s="19" customFormat="1" ht="18.75" x14ac:dyDescent="0.3">
      <c r="A18" s="703"/>
      <c r="B18" s="704"/>
      <c r="C18" s="704"/>
      <c r="D18" s="705"/>
      <c r="E18" s="488"/>
      <c r="F18" s="488"/>
      <c r="G18" s="488"/>
      <c r="H18" s="488"/>
      <c r="I18" s="437" t="s">
        <v>71</v>
      </c>
      <c r="J18" s="427" t="s">
        <v>72</v>
      </c>
      <c r="K18" s="427" t="s">
        <v>73</v>
      </c>
      <c r="L18" s="434" t="s">
        <v>74</v>
      </c>
      <c r="M18" s="385" t="s">
        <v>75</v>
      </c>
      <c r="N18" s="706"/>
      <c r="O18" s="707"/>
      <c r="P18" s="707"/>
      <c r="Q18" s="707"/>
      <c r="R18" s="708"/>
      <c r="S18" s="708"/>
      <c r="T18" s="708"/>
    </row>
    <row r="19" spans="1:20" s="19" customFormat="1" ht="85.5" customHeight="1" x14ac:dyDescent="0.3">
      <c r="A19" s="386" t="s">
        <v>5</v>
      </c>
      <c r="B19" s="438" t="s">
        <v>76</v>
      </c>
      <c r="C19" s="438" t="s">
        <v>77</v>
      </c>
      <c r="D19" s="438" t="s">
        <v>78</v>
      </c>
      <c r="E19" s="427" t="s">
        <v>79</v>
      </c>
      <c r="F19" s="427" t="s">
        <v>80</v>
      </c>
      <c r="G19" s="427" t="s">
        <v>81</v>
      </c>
      <c r="H19" s="434" t="s">
        <v>82</v>
      </c>
      <c r="I19" s="437" t="s">
        <v>83</v>
      </c>
      <c r="J19" s="437" t="s">
        <v>84</v>
      </c>
      <c r="K19" s="437" t="s">
        <v>85</v>
      </c>
      <c r="L19" s="438" t="s">
        <v>86</v>
      </c>
      <c r="M19" s="385" t="s">
        <v>87</v>
      </c>
      <c r="N19" s="261" t="s">
        <v>88</v>
      </c>
      <c r="O19" s="159" t="s">
        <v>89</v>
      </c>
      <c r="P19" s="159" t="s">
        <v>90</v>
      </c>
      <c r="Q19" s="159" t="s">
        <v>91</v>
      </c>
      <c r="R19" s="159" t="s">
        <v>92</v>
      </c>
      <c r="S19" s="159" t="s">
        <v>964</v>
      </c>
      <c r="T19" s="159" t="s">
        <v>15</v>
      </c>
    </row>
    <row r="20" spans="1:20" s="19" customFormat="1" ht="102" customHeight="1" x14ac:dyDescent="0.3">
      <c r="A20" s="709">
        <v>1</v>
      </c>
      <c r="B20" s="635" t="s">
        <v>99</v>
      </c>
      <c r="C20" s="635" t="s">
        <v>683</v>
      </c>
      <c r="D20" s="636" t="s">
        <v>241</v>
      </c>
      <c r="E20" s="710" t="s">
        <v>684</v>
      </c>
      <c r="F20" s="711"/>
      <c r="G20" s="712">
        <f>2026-E20</f>
        <v>14</v>
      </c>
      <c r="H20" s="713" t="s">
        <v>95</v>
      </c>
      <c r="I20" s="714">
        <f>(0.6*0.6*4.5)*2</f>
        <v>3.2399999999999998</v>
      </c>
      <c r="J20" s="638" t="s">
        <v>96</v>
      </c>
      <c r="K20" s="715">
        <f t="shared" ref="K20:K25" si="0">+I20-J20</f>
        <v>3.2399999999999998</v>
      </c>
      <c r="L20" s="716">
        <v>0.99199999999999999</v>
      </c>
      <c r="M20" s="639">
        <v>2556000</v>
      </c>
      <c r="N20" s="717">
        <v>0.6</v>
      </c>
      <c r="O20" s="521">
        <f>+M20</f>
        <v>2556000</v>
      </c>
      <c r="P20" s="523">
        <f t="shared" ref="P20:P27" si="1">+ROUND((K20*L20*O20*N20),-3)</f>
        <v>4929000</v>
      </c>
      <c r="Q20" s="521" t="s">
        <v>97</v>
      </c>
      <c r="R20" s="521" t="s">
        <v>97</v>
      </c>
      <c r="S20" s="523">
        <f t="shared" ref="S20:S27" si="2">P20</f>
        <v>4929000</v>
      </c>
      <c r="T20" s="517" t="s">
        <v>610</v>
      </c>
    </row>
    <row r="21" spans="1:20" s="19" customFormat="1" ht="145.5" customHeight="1" x14ac:dyDescent="0.3">
      <c r="A21" s="709">
        <v>2</v>
      </c>
      <c r="B21" s="635" t="s">
        <v>93</v>
      </c>
      <c r="C21" s="635" t="s">
        <v>1077</v>
      </c>
      <c r="D21" s="636" t="s">
        <v>241</v>
      </c>
      <c r="E21" s="710" t="s">
        <v>684</v>
      </c>
      <c r="F21" s="711"/>
      <c r="G21" s="712">
        <v>14</v>
      </c>
      <c r="H21" s="713" t="s">
        <v>95</v>
      </c>
      <c r="I21" s="714">
        <f>25.4*3.3</f>
        <v>83.82</v>
      </c>
      <c r="J21" s="638" t="s">
        <v>96</v>
      </c>
      <c r="K21" s="715">
        <f t="shared" si="0"/>
        <v>83.82</v>
      </c>
      <c r="L21" s="716">
        <v>0.99199999999999999</v>
      </c>
      <c r="M21" s="639">
        <v>1487000</v>
      </c>
      <c r="N21" s="717">
        <v>0.6</v>
      </c>
      <c r="O21" s="521">
        <f>+M21*80%*90%</f>
        <v>1070640</v>
      </c>
      <c r="P21" s="523">
        <f t="shared" si="1"/>
        <v>53414000</v>
      </c>
      <c r="Q21" s="521" t="s">
        <v>97</v>
      </c>
      <c r="R21" s="521" t="s">
        <v>97</v>
      </c>
      <c r="S21" s="523">
        <f t="shared" si="2"/>
        <v>53414000</v>
      </c>
      <c r="T21" s="517" t="s">
        <v>1072</v>
      </c>
    </row>
    <row r="22" spans="1:20" s="19" customFormat="1" ht="120.75" customHeight="1" x14ac:dyDescent="0.3">
      <c r="A22" s="718" t="s">
        <v>101</v>
      </c>
      <c r="B22" s="635" t="s">
        <v>102</v>
      </c>
      <c r="C22" s="635" t="s">
        <v>1078</v>
      </c>
      <c r="D22" s="636" t="s">
        <v>241</v>
      </c>
      <c r="E22" s="710" t="s">
        <v>684</v>
      </c>
      <c r="F22" s="711"/>
      <c r="G22" s="712">
        <v>14</v>
      </c>
      <c r="H22" s="713" t="s">
        <v>95</v>
      </c>
      <c r="I22" s="714">
        <f>25.4*0.3*0.3</f>
        <v>2.2859999999999996</v>
      </c>
      <c r="J22" s="638" t="s">
        <v>96</v>
      </c>
      <c r="K22" s="715">
        <f t="shared" si="0"/>
        <v>2.2859999999999996</v>
      </c>
      <c r="L22" s="716">
        <v>0.99199999999999999</v>
      </c>
      <c r="M22" s="639">
        <v>1961000</v>
      </c>
      <c r="N22" s="717">
        <v>0.6</v>
      </c>
      <c r="O22" s="521">
        <f>+M22</f>
        <v>1961000</v>
      </c>
      <c r="P22" s="523">
        <f t="shared" si="1"/>
        <v>2668000</v>
      </c>
      <c r="Q22" s="521" t="s">
        <v>97</v>
      </c>
      <c r="R22" s="521" t="s">
        <v>97</v>
      </c>
      <c r="S22" s="523">
        <f t="shared" si="2"/>
        <v>2668000</v>
      </c>
      <c r="T22" s="517" t="s">
        <v>1066</v>
      </c>
    </row>
    <row r="23" spans="1:20" s="19" customFormat="1" ht="131.25" customHeight="1" x14ac:dyDescent="0.3">
      <c r="A23" s="709">
        <v>3</v>
      </c>
      <c r="B23" s="635" t="s">
        <v>113</v>
      </c>
      <c r="C23" s="635" t="s">
        <v>685</v>
      </c>
      <c r="D23" s="636" t="s">
        <v>241</v>
      </c>
      <c r="E23" s="710" t="s">
        <v>684</v>
      </c>
      <c r="F23" s="711"/>
      <c r="G23" s="712">
        <v>14</v>
      </c>
      <c r="H23" s="713" t="s">
        <v>95</v>
      </c>
      <c r="I23" s="714">
        <f>3.5*27</f>
        <v>94.5</v>
      </c>
      <c r="J23" s="638" t="s">
        <v>96</v>
      </c>
      <c r="K23" s="715">
        <f t="shared" si="0"/>
        <v>94.5</v>
      </c>
      <c r="L23" s="716">
        <v>0.99199999999999999</v>
      </c>
      <c r="M23" s="639">
        <v>418000</v>
      </c>
      <c r="N23" s="717">
        <v>0.6</v>
      </c>
      <c r="O23" s="521">
        <f>+M23</f>
        <v>418000</v>
      </c>
      <c r="P23" s="523">
        <f t="shared" si="1"/>
        <v>23511000</v>
      </c>
      <c r="Q23" s="521" t="s">
        <v>97</v>
      </c>
      <c r="R23" s="521" t="s">
        <v>97</v>
      </c>
      <c r="S23" s="523">
        <f t="shared" si="2"/>
        <v>23511000</v>
      </c>
      <c r="T23" s="517" t="s">
        <v>686</v>
      </c>
    </row>
    <row r="24" spans="1:20" s="19" customFormat="1" ht="88.5" customHeight="1" x14ac:dyDescent="0.3">
      <c r="A24" s="709">
        <v>4</v>
      </c>
      <c r="B24" s="635" t="s">
        <v>687</v>
      </c>
      <c r="C24" s="635" t="s">
        <v>688</v>
      </c>
      <c r="D24" s="636" t="s">
        <v>241</v>
      </c>
      <c r="E24" s="710" t="s">
        <v>684</v>
      </c>
      <c r="F24" s="711"/>
      <c r="G24" s="712">
        <v>14</v>
      </c>
      <c r="H24" s="713" t="s">
        <v>95</v>
      </c>
      <c r="I24" s="714">
        <f>(8.3*3.5)</f>
        <v>29.050000000000004</v>
      </c>
      <c r="J24" s="638" t="s">
        <v>96</v>
      </c>
      <c r="K24" s="715">
        <f t="shared" si="0"/>
        <v>29.050000000000004</v>
      </c>
      <c r="L24" s="716">
        <v>0.99199999999999999</v>
      </c>
      <c r="M24" s="639">
        <v>835000</v>
      </c>
      <c r="N24" s="717">
        <v>0.6</v>
      </c>
      <c r="O24" s="521">
        <f>+M24</f>
        <v>835000</v>
      </c>
      <c r="P24" s="523">
        <f t="shared" si="1"/>
        <v>14438000</v>
      </c>
      <c r="Q24" s="521" t="s">
        <v>97</v>
      </c>
      <c r="R24" s="521" t="s">
        <v>97</v>
      </c>
      <c r="S24" s="523">
        <f t="shared" si="2"/>
        <v>14438000</v>
      </c>
      <c r="T24" s="517" t="s">
        <v>174</v>
      </c>
    </row>
    <row r="25" spans="1:20" s="19" customFormat="1" ht="97.5" customHeight="1" x14ac:dyDescent="0.3">
      <c r="A25" s="709">
        <v>5</v>
      </c>
      <c r="B25" s="635" t="s">
        <v>689</v>
      </c>
      <c r="C25" s="635" t="s">
        <v>690</v>
      </c>
      <c r="D25" s="636" t="s">
        <v>217</v>
      </c>
      <c r="E25" s="710" t="s">
        <v>684</v>
      </c>
      <c r="F25" s="711"/>
      <c r="G25" s="712">
        <v>14</v>
      </c>
      <c r="H25" s="713" t="s">
        <v>95</v>
      </c>
      <c r="I25" s="714">
        <f>3.6*3.6*1.7</f>
        <v>22.032</v>
      </c>
      <c r="J25" s="638" t="s">
        <v>96</v>
      </c>
      <c r="K25" s="715">
        <f t="shared" si="0"/>
        <v>22.032</v>
      </c>
      <c r="L25" s="716">
        <v>0.99199999999999999</v>
      </c>
      <c r="M25" s="639">
        <v>8821000</v>
      </c>
      <c r="N25" s="717">
        <v>0.6</v>
      </c>
      <c r="O25" s="521">
        <f>+M25</f>
        <v>8821000</v>
      </c>
      <c r="P25" s="523">
        <f t="shared" si="1"/>
        <v>115674000</v>
      </c>
      <c r="Q25" s="521" t="s">
        <v>97</v>
      </c>
      <c r="R25" s="521" t="s">
        <v>97</v>
      </c>
      <c r="S25" s="523">
        <f t="shared" si="2"/>
        <v>115674000</v>
      </c>
      <c r="T25" s="517" t="s">
        <v>691</v>
      </c>
    </row>
    <row r="26" spans="1:20" s="19" customFormat="1" ht="42.75" customHeight="1" x14ac:dyDescent="0.3">
      <c r="A26" s="709"/>
      <c r="B26" s="635" t="s">
        <v>692</v>
      </c>
      <c r="C26" s="635" t="s">
        <v>693</v>
      </c>
      <c r="D26" s="636" t="s">
        <v>241</v>
      </c>
      <c r="E26" s="710" t="s">
        <v>684</v>
      </c>
      <c r="F26" s="711"/>
      <c r="G26" s="712">
        <v>14</v>
      </c>
      <c r="H26" s="713" t="s">
        <v>95</v>
      </c>
      <c r="I26" s="714">
        <f>3.6*3</f>
        <v>10.8</v>
      </c>
      <c r="J26" s="638" t="s">
        <v>96</v>
      </c>
      <c r="K26" s="715">
        <f>I26-J26</f>
        <v>10.8</v>
      </c>
      <c r="L26" s="716">
        <v>0.99199999999999999</v>
      </c>
      <c r="M26" s="639">
        <v>273000</v>
      </c>
      <c r="N26" s="717">
        <v>0.6</v>
      </c>
      <c r="O26" s="521">
        <f>M26</f>
        <v>273000</v>
      </c>
      <c r="P26" s="523">
        <f t="shared" si="1"/>
        <v>1755000</v>
      </c>
      <c r="Q26" s="521" t="s">
        <v>97</v>
      </c>
      <c r="R26" s="521" t="s">
        <v>97</v>
      </c>
      <c r="S26" s="523">
        <f t="shared" si="2"/>
        <v>1755000</v>
      </c>
      <c r="T26" s="517" t="s">
        <v>694</v>
      </c>
    </row>
    <row r="27" spans="1:20" s="19" customFormat="1" ht="46.5" customHeight="1" x14ac:dyDescent="0.3">
      <c r="A27" s="709">
        <v>6</v>
      </c>
      <c r="B27" s="635" t="s">
        <v>695</v>
      </c>
      <c r="C27" s="635" t="s">
        <v>696</v>
      </c>
      <c r="D27" s="636" t="s">
        <v>217</v>
      </c>
      <c r="E27" s="710" t="s">
        <v>684</v>
      </c>
      <c r="F27" s="711"/>
      <c r="G27" s="712">
        <v>14</v>
      </c>
      <c r="H27" s="713" t="s">
        <v>95</v>
      </c>
      <c r="I27" s="714">
        <f>10*3.8</f>
        <v>38</v>
      </c>
      <c r="J27" s="638" t="s">
        <v>96</v>
      </c>
      <c r="K27" s="715">
        <f>+I27-J27</f>
        <v>38</v>
      </c>
      <c r="L27" s="716">
        <v>0.99199999999999999</v>
      </c>
      <c r="M27" s="639">
        <v>268000</v>
      </c>
      <c r="N27" s="717">
        <v>0.6</v>
      </c>
      <c r="O27" s="521">
        <f>+M27</f>
        <v>268000</v>
      </c>
      <c r="P27" s="523">
        <f t="shared" si="1"/>
        <v>6062000</v>
      </c>
      <c r="Q27" s="521" t="s">
        <v>97</v>
      </c>
      <c r="R27" s="521" t="s">
        <v>97</v>
      </c>
      <c r="S27" s="523">
        <f t="shared" si="2"/>
        <v>6062000</v>
      </c>
      <c r="T27" s="517" t="s">
        <v>697</v>
      </c>
    </row>
    <row r="28" spans="1:20" s="19" customFormat="1" ht="28.5" customHeight="1" x14ac:dyDescent="0.3">
      <c r="A28" s="388"/>
      <c r="B28" s="257" t="s">
        <v>55</v>
      </c>
      <c r="C28" s="257"/>
      <c r="D28" s="213"/>
      <c r="E28" s="214"/>
      <c r="F28" s="251"/>
      <c r="G28" s="216"/>
      <c r="H28" s="216"/>
      <c r="I28" s="216"/>
      <c r="J28" s="216"/>
      <c r="K28" s="216"/>
      <c r="L28" s="216"/>
      <c r="M28" s="216"/>
      <c r="N28" s="325"/>
      <c r="O28" s="325"/>
      <c r="P28" s="325"/>
      <c r="Q28" s="325"/>
      <c r="R28" s="325"/>
      <c r="S28" s="45">
        <f>SUM(S20:S27)</f>
        <v>222451000</v>
      </c>
      <c r="T28" s="167"/>
    </row>
    <row r="29" spans="1:20" s="19" customFormat="1" ht="19.5" x14ac:dyDescent="0.3">
      <c r="A29" s="171" t="s">
        <v>131</v>
      </c>
      <c r="B29" s="172" t="s">
        <v>132</v>
      </c>
      <c r="C29" s="173"/>
      <c r="D29" s="466"/>
      <c r="E29" s="466"/>
      <c r="F29" s="466"/>
      <c r="G29" s="466"/>
      <c r="H29" s="466"/>
      <c r="I29" s="719"/>
      <c r="J29" s="466"/>
      <c r="K29" s="468"/>
      <c r="L29" s="468"/>
      <c r="M29" s="466"/>
      <c r="N29" s="468"/>
      <c r="O29" s="466"/>
      <c r="P29" s="469"/>
      <c r="Q29" s="466"/>
      <c r="R29" s="466"/>
      <c r="S29" s="470"/>
      <c r="T29" s="466"/>
    </row>
    <row r="30" spans="1:20" s="19" customFormat="1" ht="19.5" x14ac:dyDescent="0.3">
      <c r="A30" s="171" t="s">
        <v>133</v>
      </c>
      <c r="B30" s="172" t="s">
        <v>134</v>
      </c>
      <c r="C30" s="174"/>
      <c r="D30" s="174"/>
      <c r="E30" s="174"/>
      <c r="F30" s="174"/>
      <c r="G30" s="174"/>
      <c r="H30" s="174"/>
      <c r="I30" s="387"/>
      <c r="J30" s="174"/>
      <c r="K30" s="176"/>
      <c r="L30" s="176"/>
      <c r="M30" s="174"/>
      <c r="N30" s="176"/>
      <c r="O30" s="174"/>
      <c r="P30" s="177"/>
      <c r="Q30" s="174"/>
      <c r="R30" s="174"/>
      <c r="S30" s="174"/>
      <c r="T30" s="174"/>
    </row>
    <row r="31" spans="1:20" s="19" customFormat="1" ht="19.5" x14ac:dyDescent="0.3">
      <c r="A31" s="178" t="s">
        <v>135</v>
      </c>
      <c r="B31" s="471" t="s">
        <v>698</v>
      </c>
      <c r="C31" s="472"/>
      <c r="D31" s="472"/>
      <c r="E31" s="472"/>
      <c r="F31" s="472"/>
      <c r="G31" s="472"/>
      <c r="H31" s="472"/>
      <c r="I31" s="472"/>
      <c r="J31" s="472"/>
      <c r="K31" s="472"/>
      <c r="L31" s="472"/>
      <c r="M31" s="472"/>
      <c r="N31" s="472"/>
      <c r="O31" s="472"/>
      <c r="P31" s="472"/>
      <c r="Q31" s="472"/>
      <c r="R31" s="473"/>
      <c r="S31" s="29">
        <f>+S28+S14</f>
        <v>445824000</v>
      </c>
      <c r="T31" s="174" t="s">
        <v>137</v>
      </c>
    </row>
    <row r="32" spans="1:20" ht="24" customHeight="1" x14ac:dyDescent="0.3">
      <c r="A32" s="940" t="s">
        <v>699</v>
      </c>
      <c r="B32" s="940"/>
      <c r="C32" s="940"/>
      <c r="D32" s="940"/>
      <c r="E32" s="940"/>
      <c r="F32" s="940"/>
      <c r="G32" s="940"/>
      <c r="H32" s="940"/>
      <c r="I32" s="940"/>
      <c r="J32" s="940"/>
      <c r="K32" s="940"/>
      <c r="L32" s="940"/>
      <c r="M32" s="940"/>
      <c r="N32" s="940"/>
      <c r="O32" s="940"/>
      <c r="P32" s="940"/>
      <c r="Q32" s="940"/>
      <c r="R32" s="940"/>
      <c r="S32" s="940"/>
      <c r="T32" s="940"/>
    </row>
    <row r="33" spans="1:20" ht="24" customHeight="1" x14ac:dyDescent="0.3">
      <c r="A33" s="772" t="s">
        <v>1</v>
      </c>
      <c r="B33" s="772"/>
      <c r="C33" s="772"/>
      <c r="D33" s="772"/>
      <c r="E33" s="772"/>
      <c r="F33" s="772"/>
      <c r="G33" s="772"/>
      <c r="H33" s="772"/>
      <c r="I33" s="772"/>
      <c r="J33" s="772"/>
      <c r="K33" s="772"/>
      <c r="L33" s="772"/>
      <c r="M33" s="772"/>
      <c r="N33" s="772"/>
      <c r="O33" s="772"/>
      <c r="P33" s="772"/>
      <c r="Q33" s="772"/>
      <c r="R33" s="772"/>
      <c r="S33" s="772"/>
      <c r="T33" s="772"/>
    </row>
    <row r="34" spans="1:20" ht="24" customHeight="1" x14ac:dyDescent="0.3">
      <c r="A34" s="772" t="s">
        <v>2</v>
      </c>
      <c r="B34" s="772"/>
      <c r="C34" s="772"/>
      <c r="D34" s="772"/>
      <c r="E34" s="772"/>
      <c r="F34" s="772"/>
      <c r="G34" s="772"/>
      <c r="H34" s="772"/>
      <c r="I34" s="772"/>
      <c r="J34" s="772"/>
      <c r="K34" s="772"/>
      <c r="L34" s="772"/>
      <c r="M34" s="772"/>
      <c r="N34" s="772"/>
      <c r="O34" s="772"/>
      <c r="P34" s="772"/>
      <c r="Q34" s="772"/>
      <c r="R34" s="772"/>
      <c r="S34" s="772"/>
      <c r="T34" s="772"/>
    </row>
    <row r="35" spans="1:20" ht="24.75" customHeight="1" x14ac:dyDescent="0.3">
      <c r="A35" s="809" t="s">
        <v>1002</v>
      </c>
      <c r="B35" s="809"/>
      <c r="C35" s="809"/>
      <c r="D35" s="809"/>
      <c r="E35" s="809"/>
      <c r="F35" s="809"/>
      <c r="G35" s="809"/>
      <c r="H35" s="809"/>
      <c r="I35" s="809"/>
      <c r="J35" s="809"/>
      <c r="K35" s="809"/>
      <c r="L35" s="809"/>
      <c r="M35" s="809"/>
      <c r="N35" s="809"/>
      <c r="O35" s="809"/>
      <c r="P35" s="809"/>
      <c r="Q35" s="809"/>
      <c r="R35" s="809"/>
      <c r="S35" s="809"/>
      <c r="T35" s="809"/>
    </row>
    <row r="36" spans="1:20" s="19" customFormat="1" ht="20.25" thickBot="1" x14ac:dyDescent="0.35">
      <c r="A36" s="272" t="s">
        <v>3</v>
      </c>
      <c r="B36" s="273" t="s">
        <v>4</v>
      </c>
      <c r="C36" s="233"/>
      <c r="D36" s="233"/>
      <c r="E36" s="233"/>
      <c r="F36" s="233"/>
      <c r="G36" s="233"/>
      <c r="H36" s="233"/>
      <c r="I36" s="394"/>
      <c r="J36" s="233"/>
      <c r="K36" s="235"/>
      <c r="L36" s="235"/>
      <c r="M36" s="233"/>
      <c r="N36" s="235"/>
      <c r="O36" s="233"/>
      <c r="P36" s="236"/>
      <c r="Q36" s="233"/>
      <c r="R36" s="233"/>
      <c r="S36" s="237"/>
      <c r="T36" s="233"/>
    </row>
    <row r="37" spans="1:20" s="19" customFormat="1" ht="84.75" customHeight="1" x14ac:dyDescent="0.3">
      <c r="A37" s="435" t="s">
        <v>5</v>
      </c>
      <c r="B37" s="720" t="s">
        <v>6</v>
      </c>
      <c r="C37" s="477" t="s">
        <v>7</v>
      </c>
      <c r="D37" s="897" t="s">
        <v>959</v>
      </c>
      <c r="E37" s="898"/>
      <c r="F37" s="899"/>
      <c r="G37" s="897" t="s">
        <v>960</v>
      </c>
      <c r="H37" s="898"/>
      <c r="I37" s="899"/>
      <c r="J37" s="897" t="s">
        <v>961</v>
      </c>
      <c r="K37" s="898"/>
      <c r="L37" s="899"/>
      <c r="M37" s="900" t="s">
        <v>8</v>
      </c>
      <c r="N37" s="900" t="s">
        <v>9</v>
      </c>
      <c r="O37" s="900" t="s">
        <v>10</v>
      </c>
      <c r="P37" s="926" t="s">
        <v>11</v>
      </c>
      <c r="Q37" s="824" t="s">
        <v>12</v>
      </c>
      <c r="R37" s="824" t="s">
        <v>13</v>
      </c>
      <c r="S37" s="812" t="s">
        <v>14</v>
      </c>
      <c r="T37" s="825" t="s">
        <v>15</v>
      </c>
    </row>
    <row r="38" spans="1:20" s="19" customFormat="1" ht="55.5" customHeight="1" x14ac:dyDescent="0.3">
      <c r="A38" s="721"/>
      <c r="B38" s="722"/>
      <c r="C38" s="483"/>
      <c r="D38" s="674" t="s">
        <v>16</v>
      </c>
      <c r="E38" s="897" t="s">
        <v>17</v>
      </c>
      <c r="F38" s="899"/>
      <c r="G38" s="674" t="s">
        <v>16</v>
      </c>
      <c r="H38" s="897" t="s">
        <v>17</v>
      </c>
      <c r="I38" s="899"/>
      <c r="J38" s="676" t="s">
        <v>18</v>
      </c>
      <c r="K38" s="897" t="s">
        <v>17</v>
      </c>
      <c r="L38" s="899"/>
      <c r="M38" s="901"/>
      <c r="N38" s="901"/>
      <c r="O38" s="901"/>
      <c r="P38" s="927"/>
      <c r="Q38" s="929"/>
      <c r="R38" s="929"/>
      <c r="S38" s="931"/>
      <c r="T38" s="932"/>
    </row>
    <row r="39" spans="1:20" s="19" customFormat="1" ht="66" customHeight="1" x14ac:dyDescent="0.3">
      <c r="A39" s="723"/>
      <c r="B39" s="724"/>
      <c r="C39" s="487"/>
      <c r="D39" s="675"/>
      <c r="E39" s="673" t="s">
        <v>962</v>
      </c>
      <c r="F39" s="673" t="s">
        <v>963</v>
      </c>
      <c r="G39" s="675"/>
      <c r="H39" s="673" t="s">
        <v>962</v>
      </c>
      <c r="I39" s="673" t="s">
        <v>963</v>
      </c>
      <c r="J39" s="677"/>
      <c r="K39" s="673" t="s">
        <v>962</v>
      </c>
      <c r="L39" s="673" t="s">
        <v>963</v>
      </c>
      <c r="M39" s="902"/>
      <c r="N39" s="902"/>
      <c r="O39" s="902"/>
      <c r="P39" s="928"/>
      <c r="Q39" s="930"/>
      <c r="R39" s="930"/>
      <c r="S39" s="924"/>
      <c r="T39" s="925"/>
    </row>
    <row r="40" spans="1:20" s="19" customFormat="1" ht="79.5" customHeight="1" x14ac:dyDescent="0.3">
      <c r="A40" s="179" t="s">
        <v>98</v>
      </c>
      <c r="B40" s="346" t="s">
        <v>700</v>
      </c>
      <c r="C40" s="438" t="s">
        <v>196</v>
      </c>
      <c r="D40" s="191"/>
      <c r="E40" s="191"/>
      <c r="F40" s="191"/>
      <c r="G40" s="191"/>
      <c r="H40" s="191"/>
      <c r="I40" s="191"/>
      <c r="J40" s="191">
        <v>183.5</v>
      </c>
      <c r="K40" s="191"/>
      <c r="L40" s="191">
        <f>J40</f>
        <v>183.5</v>
      </c>
      <c r="M40" s="193"/>
      <c r="N40" s="193"/>
      <c r="O40" s="194" t="s">
        <v>21</v>
      </c>
      <c r="P40" s="188" t="s">
        <v>140</v>
      </c>
      <c r="Q40" s="144" t="s">
        <v>23</v>
      </c>
      <c r="R40" s="138" t="s">
        <v>24</v>
      </c>
      <c r="S40" s="138" t="s">
        <v>25</v>
      </c>
      <c r="T40" s="184" t="s">
        <v>701</v>
      </c>
    </row>
    <row r="41" spans="1:20" s="19" customFormat="1" ht="20.25" customHeight="1" x14ac:dyDescent="0.3">
      <c r="A41" s="272" t="s">
        <v>27</v>
      </c>
      <c r="B41" s="273" t="s">
        <v>702</v>
      </c>
      <c r="C41" s="301"/>
      <c r="D41" s="301"/>
      <c r="E41" s="301"/>
      <c r="F41" s="301"/>
      <c r="G41" s="301"/>
      <c r="H41" s="301"/>
      <c r="I41" s="378"/>
      <c r="J41" s="301"/>
      <c r="K41" s="303"/>
      <c r="L41" s="303"/>
      <c r="M41" s="301"/>
      <c r="N41" s="303"/>
      <c r="O41" s="301"/>
      <c r="P41" s="236"/>
      <c r="Q41" s="233"/>
      <c r="R41" s="233"/>
      <c r="S41" s="237">
        <f>S46</f>
        <v>157076000</v>
      </c>
      <c r="T41" s="233"/>
    </row>
    <row r="42" spans="1:20" s="19" customFormat="1" ht="45" customHeight="1" x14ac:dyDescent="0.3">
      <c r="A42" s="432" t="s">
        <v>5</v>
      </c>
      <c r="B42" s="725" t="s">
        <v>663</v>
      </c>
      <c r="C42" s="477" t="s">
        <v>664</v>
      </c>
      <c r="D42" s="897" t="s">
        <v>665</v>
      </c>
      <c r="E42" s="898"/>
      <c r="F42" s="898"/>
      <c r="G42" s="899"/>
      <c r="H42" s="894" t="s">
        <v>666</v>
      </c>
      <c r="I42" s="934" t="s">
        <v>667</v>
      </c>
      <c r="J42" s="935"/>
      <c r="K42" s="936"/>
      <c r="L42" s="937" t="s">
        <v>668</v>
      </c>
      <c r="M42" s="938"/>
      <c r="N42" s="894" t="s">
        <v>43</v>
      </c>
      <c r="O42" s="894" t="s">
        <v>669</v>
      </c>
      <c r="P42" s="933" t="s">
        <v>670</v>
      </c>
      <c r="Q42" s="806" t="s">
        <v>42</v>
      </c>
      <c r="R42" s="802" t="s">
        <v>671</v>
      </c>
      <c r="S42" s="802" t="s">
        <v>44</v>
      </c>
      <c r="T42" s="807" t="s">
        <v>15</v>
      </c>
    </row>
    <row r="43" spans="1:20" s="19" customFormat="1" ht="88.5" customHeight="1" x14ac:dyDescent="0.3">
      <c r="A43" s="723"/>
      <c r="B43" s="724"/>
      <c r="C43" s="487"/>
      <c r="D43" s="425" t="s">
        <v>672</v>
      </c>
      <c r="E43" s="425" t="s">
        <v>673</v>
      </c>
      <c r="F43" s="425" t="s">
        <v>986</v>
      </c>
      <c r="G43" s="425" t="s">
        <v>17</v>
      </c>
      <c r="H43" s="896"/>
      <c r="I43" s="246" t="s">
        <v>674</v>
      </c>
      <c r="J43" s="246" t="s">
        <v>675</v>
      </c>
      <c r="K43" s="191" t="s">
        <v>676</v>
      </c>
      <c r="L43" s="191" t="s">
        <v>677</v>
      </c>
      <c r="M43" s="193" t="s">
        <v>678</v>
      </c>
      <c r="N43" s="896"/>
      <c r="O43" s="896"/>
      <c r="P43" s="928"/>
      <c r="Q43" s="930"/>
      <c r="R43" s="924"/>
      <c r="S43" s="924"/>
      <c r="T43" s="925"/>
    </row>
    <row r="44" spans="1:20" s="19" customFormat="1" ht="75.75" customHeight="1" x14ac:dyDescent="0.3">
      <c r="A44" s="389" t="s">
        <v>19</v>
      </c>
      <c r="B44" s="396" t="s">
        <v>679</v>
      </c>
      <c r="C44" s="64" t="s">
        <v>703</v>
      </c>
      <c r="D44" s="246" t="s">
        <v>471</v>
      </c>
      <c r="E44" s="246" t="s">
        <v>680</v>
      </c>
      <c r="F44" s="191">
        <v>131.69999999999999</v>
      </c>
      <c r="G44" s="192" t="s">
        <v>681</v>
      </c>
      <c r="H44" s="192"/>
      <c r="I44" s="191">
        <f>F44</f>
        <v>131.69999999999999</v>
      </c>
      <c r="J44" s="191">
        <v>0</v>
      </c>
      <c r="K44" s="191">
        <f>I44+J44</f>
        <v>131.69999999999999</v>
      </c>
      <c r="L44" s="191">
        <v>0</v>
      </c>
      <c r="M44" s="193"/>
      <c r="N44" s="404">
        <v>1</v>
      </c>
      <c r="O44" s="248">
        <v>1</v>
      </c>
      <c r="P44" s="188">
        <v>856000</v>
      </c>
      <c r="Q44" s="144">
        <f>+ROUND((P44*N44*K44),-3)</f>
        <v>112735000</v>
      </c>
      <c r="R44" s="144">
        <f>-ROUND((38000*J44*0.5%),-3)</f>
        <v>0</v>
      </c>
      <c r="S44" s="45">
        <f>+Q44+R44</f>
        <v>112735000</v>
      </c>
      <c r="T44" s="185"/>
    </row>
    <row r="45" spans="1:20" s="19" customFormat="1" ht="76.5" customHeight="1" x14ac:dyDescent="0.3">
      <c r="A45" s="389" t="s">
        <v>98</v>
      </c>
      <c r="B45" s="321" t="s">
        <v>679</v>
      </c>
      <c r="C45" s="351" t="s">
        <v>704</v>
      </c>
      <c r="D45" s="397" t="s">
        <v>558</v>
      </c>
      <c r="E45" s="397" t="s">
        <v>705</v>
      </c>
      <c r="F45" s="398">
        <v>51.8</v>
      </c>
      <c r="G45" s="352" t="s">
        <v>681</v>
      </c>
      <c r="H45" s="399"/>
      <c r="I45" s="400">
        <f>F45</f>
        <v>51.8</v>
      </c>
      <c r="J45" s="401">
        <v>0</v>
      </c>
      <c r="K45" s="401">
        <f>I45+J45</f>
        <v>51.8</v>
      </c>
      <c r="L45" s="400">
        <v>0</v>
      </c>
      <c r="M45" s="402"/>
      <c r="N45" s="403">
        <v>1</v>
      </c>
      <c r="O45" s="225">
        <v>1</v>
      </c>
      <c r="P45" s="144">
        <v>856000</v>
      </c>
      <c r="Q45" s="144">
        <f>+ROUND((P45*N45*K45),-3)</f>
        <v>44341000</v>
      </c>
      <c r="R45" s="144">
        <f>-ROUND((38000*J45*0.5%),-3)</f>
        <v>0</v>
      </c>
      <c r="S45" s="45">
        <f>+Q45+R45</f>
        <v>44341000</v>
      </c>
      <c r="T45" s="185"/>
    </row>
    <row r="46" spans="1:20" s="19" customFormat="1" ht="30" customHeight="1" x14ac:dyDescent="0.3">
      <c r="A46" s="389"/>
      <c r="B46" s="166" t="s">
        <v>55</v>
      </c>
      <c r="C46" s="166"/>
      <c r="D46" s="240"/>
      <c r="E46" s="159"/>
      <c r="F46" s="241">
        <f>SUM(F44:F45)</f>
        <v>183.5</v>
      </c>
      <c r="G46" s="168"/>
      <c r="H46" s="390"/>
      <c r="I46" s="391">
        <f>F46</f>
        <v>183.5</v>
      </c>
      <c r="J46" s="391">
        <f>+SUM(J44)</f>
        <v>0</v>
      </c>
      <c r="K46" s="391">
        <f>I46</f>
        <v>183.5</v>
      </c>
      <c r="L46" s="391">
        <f>+SUM(L44)</f>
        <v>0</v>
      </c>
      <c r="M46" s="392"/>
      <c r="N46" s="384"/>
      <c r="O46" s="167"/>
      <c r="P46" s="45"/>
      <c r="Q46" s="45">
        <f>Q44+Q45</f>
        <v>157076000</v>
      </c>
      <c r="R46" s="45">
        <f>R44</f>
        <v>0</v>
      </c>
      <c r="S46" s="45">
        <f>S44+S45</f>
        <v>157076000</v>
      </c>
      <c r="T46" s="185"/>
    </row>
    <row r="47" spans="1:20" s="19" customFormat="1" ht="19.5" x14ac:dyDescent="0.3">
      <c r="A47" s="272" t="s">
        <v>28</v>
      </c>
      <c r="B47" s="273" t="s">
        <v>29</v>
      </c>
      <c r="C47" s="233"/>
      <c r="D47" s="233"/>
      <c r="E47" s="233"/>
      <c r="F47" s="233"/>
      <c r="G47" s="233"/>
      <c r="H47" s="233"/>
      <c r="I47" s="394"/>
      <c r="J47" s="233"/>
      <c r="K47" s="235"/>
      <c r="L47" s="235"/>
      <c r="M47" s="233"/>
      <c r="N47" s="235"/>
      <c r="O47" s="233"/>
      <c r="P47" s="236"/>
      <c r="Q47" s="237"/>
      <c r="R47" s="237"/>
      <c r="S47" s="441">
        <f>S50</f>
        <v>762000</v>
      </c>
      <c r="T47" s="233"/>
    </row>
    <row r="48" spans="1:20" s="19" customFormat="1" ht="38.25" customHeight="1" x14ac:dyDescent="0.3">
      <c r="A48" s="432" t="s">
        <v>5</v>
      </c>
      <c r="B48" s="443" t="s">
        <v>30</v>
      </c>
      <c r="C48" s="443" t="s">
        <v>31</v>
      </c>
      <c r="D48" s="443" t="s">
        <v>32</v>
      </c>
      <c r="E48" s="439" t="s">
        <v>33</v>
      </c>
      <c r="F48" s="395"/>
      <c r="G48" s="443" t="s">
        <v>34</v>
      </c>
      <c r="H48" s="443" t="s">
        <v>35</v>
      </c>
      <c r="I48" s="444" t="s">
        <v>36</v>
      </c>
      <c r="J48" s="261"/>
      <c r="K48" s="445" t="s">
        <v>37</v>
      </c>
      <c r="L48" s="445" t="s">
        <v>38</v>
      </c>
      <c r="M48" s="446" t="s">
        <v>39</v>
      </c>
      <c r="N48" s="443" t="s">
        <v>40</v>
      </c>
      <c r="O48" s="443" t="s">
        <v>967</v>
      </c>
      <c r="P48" s="447" t="s">
        <v>41</v>
      </c>
      <c r="Q48" s="447" t="s">
        <v>42</v>
      </c>
      <c r="R48" s="443" t="s">
        <v>43</v>
      </c>
      <c r="S48" s="443" t="s">
        <v>44</v>
      </c>
      <c r="T48" s="428" t="s">
        <v>15</v>
      </c>
    </row>
    <row r="49" spans="1:20" s="19" customFormat="1" ht="58.5" customHeight="1" x14ac:dyDescent="0.3">
      <c r="A49" s="723"/>
      <c r="B49" s="251"/>
      <c r="C49" s="251"/>
      <c r="D49" s="251"/>
      <c r="E49" s="167" t="s">
        <v>45</v>
      </c>
      <c r="F49" s="167" t="s">
        <v>46</v>
      </c>
      <c r="G49" s="251"/>
      <c r="H49" s="251"/>
      <c r="I49" s="139" t="s">
        <v>47</v>
      </c>
      <c r="J49" s="143" t="s">
        <v>48</v>
      </c>
      <c r="K49" s="215"/>
      <c r="L49" s="215"/>
      <c r="M49" s="726"/>
      <c r="N49" s="251"/>
      <c r="O49" s="251"/>
      <c r="P49" s="224"/>
      <c r="Q49" s="224"/>
      <c r="R49" s="251"/>
      <c r="S49" s="251"/>
      <c r="T49" s="686"/>
    </row>
    <row r="50" spans="1:20" s="19" customFormat="1" ht="96" customHeight="1" x14ac:dyDescent="0.3">
      <c r="A50" s="310" t="s">
        <v>19</v>
      </c>
      <c r="B50" s="321" t="s">
        <v>706</v>
      </c>
      <c r="C50" s="321"/>
      <c r="D50" s="393"/>
      <c r="E50" s="139"/>
      <c r="F50" s="138"/>
      <c r="G50" s="138"/>
      <c r="H50" s="138"/>
      <c r="I50" s="141">
        <v>2000</v>
      </c>
      <c r="J50" s="138"/>
      <c r="K50" s="143">
        <v>2</v>
      </c>
      <c r="L50" s="143">
        <v>2</v>
      </c>
      <c r="M50" s="52" t="s">
        <v>707</v>
      </c>
      <c r="N50" s="145"/>
      <c r="O50" s="138"/>
      <c r="P50" s="144">
        <v>380800</v>
      </c>
      <c r="Q50" s="144">
        <f>+ROUND((L50*P50),-3)</f>
        <v>762000</v>
      </c>
      <c r="R50" s="145">
        <v>1</v>
      </c>
      <c r="S50" s="144">
        <f>Q50</f>
        <v>762000</v>
      </c>
      <c r="T50" s="184" t="s">
        <v>708</v>
      </c>
    </row>
    <row r="51" spans="1:20" s="19" customFormat="1" ht="24.75" customHeight="1" x14ac:dyDescent="0.3">
      <c r="A51" s="727"/>
      <c r="B51" s="166" t="s">
        <v>55</v>
      </c>
      <c r="C51" s="166"/>
      <c r="D51" s="240"/>
      <c r="E51" s="159"/>
      <c r="F51" s="167"/>
      <c r="G51" s="167"/>
      <c r="H51" s="167"/>
      <c r="I51" s="167"/>
      <c r="J51" s="167"/>
      <c r="K51" s="241"/>
      <c r="L51" s="241"/>
      <c r="M51" s="169"/>
      <c r="N51" s="170"/>
      <c r="O51" s="167"/>
      <c r="P51" s="45"/>
      <c r="Q51" s="45"/>
      <c r="R51" s="45"/>
      <c r="S51" s="45">
        <f>S50</f>
        <v>762000</v>
      </c>
      <c r="T51" s="167"/>
    </row>
    <row r="52" spans="1:20" s="19" customFormat="1" ht="19.5" x14ac:dyDescent="0.3">
      <c r="A52" s="272" t="s">
        <v>56</v>
      </c>
      <c r="B52" s="273" t="s">
        <v>201</v>
      </c>
      <c r="C52" s="233"/>
      <c r="D52" s="233"/>
      <c r="E52" s="233"/>
      <c r="F52" s="233"/>
      <c r="G52" s="233"/>
      <c r="H52" s="233"/>
      <c r="I52" s="394"/>
      <c r="J52" s="233"/>
      <c r="K52" s="235"/>
      <c r="L52" s="235"/>
      <c r="M52" s="233"/>
      <c r="N52" s="235"/>
      <c r="O52" s="233"/>
      <c r="P52" s="236"/>
      <c r="Q52" s="233"/>
      <c r="R52" s="233"/>
      <c r="S52" s="237">
        <f>S76</f>
        <v>203969000</v>
      </c>
      <c r="T52" s="233"/>
    </row>
    <row r="53" spans="1:20" s="19" customFormat="1" ht="18.75" x14ac:dyDescent="0.3">
      <c r="A53" s="448"/>
      <c r="B53" s="449" t="s">
        <v>51</v>
      </c>
      <c r="C53" s="449" t="s">
        <v>58</v>
      </c>
      <c r="D53" s="450" t="s">
        <v>59</v>
      </c>
      <c r="E53" s="445" t="s">
        <v>60</v>
      </c>
      <c r="F53" s="445" t="s">
        <v>61</v>
      </c>
      <c r="G53" s="445" t="s">
        <v>62</v>
      </c>
      <c r="H53" s="445" t="s">
        <v>63</v>
      </c>
      <c r="I53" s="451" t="s">
        <v>64</v>
      </c>
      <c r="J53" s="728"/>
      <c r="K53" s="728"/>
      <c r="L53" s="728"/>
      <c r="M53" s="729"/>
      <c r="N53" s="452" t="s">
        <v>3</v>
      </c>
      <c r="O53" s="452" t="s">
        <v>65</v>
      </c>
      <c r="P53" s="452" t="s">
        <v>66</v>
      </c>
      <c r="Q53" s="452" t="s">
        <v>67</v>
      </c>
      <c r="R53" s="449" t="s">
        <v>68</v>
      </c>
      <c r="S53" s="449" t="s">
        <v>69</v>
      </c>
      <c r="T53" s="449" t="s">
        <v>70</v>
      </c>
    </row>
    <row r="54" spans="1:20" s="19" customFormat="1" ht="18.75" x14ac:dyDescent="0.3">
      <c r="A54" s="730"/>
      <c r="B54" s="731"/>
      <c r="C54" s="731"/>
      <c r="D54" s="732"/>
      <c r="E54" s="334"/>
      <c r="F54" s="215"/>
      <c r="G54" s="215"/>
      <c r="H54" s="215"/>
      <c r="I54" s="242" t="s">
        <v>71</v>
      </c>
      <c r="J54" s="159" t="s">
        <v>72</v>
      </c>
      <c r="K54" s="159" t="s">
        <v>73</v>
      </c>
      <c r="L54" s="45" t="s">
        <v>74</v>
      </c>
      <c r="M54" s="204" t="s">
        <v>75</v>
      </c>
      <c r="N54" s="707"/>
      <c r="O54" s="707"/>
      <c r="P54" s="707"/>
      <c r="Q54" s="707"/>
      <c r="R54" s="708"/>
      <c r="S54" s="708"/>
      <c r="T54" s="708"/>
    </row>
    <row r="55" spans="1:20" s="19" customFormat="1" ht="87" customHeight="1" x14ac:dyDescent="0.3">
      <c r="A55" s="386" t="s">
        <v>5</v>
      </c>
      <c r="B55" s="438" t="s">
        <v>76</v>
      </c>
      <c r="C55" s="438" t="s">
        <v>77</v>
      </c>
      <c r="D55" s="438" t="s">
        <v>78</v>
      </c>
      <c r="E55" s="427" t="s">
        <v>79</v>
      </c>
      <c r="F55" s="261" t="s">
        <v>80</v>
      </c>
      <c r="G55" s="159" t="s">
        <v>81</v>
      </c>
      <c r="H55" s="45" t="s">
        <v>82</v>
      </c>
      <c r="I55" s="242" t="s">
        <v>83</v>
      </c>
      <c r="J55" s="242" t="s">
        <v>84</v>
      </c>
      <c r="K55" s="242" t="s">
        <v>85</v>
      </c>
      <c r="L55" s="49" t="s">
        <v>86</v>
      </c>
      <c r="M55" s="204" t="s">
        <v>87</v>
      </c>
      <c r="N55" s="159" t="s">
        <v>88</v>
      </c>
      <c r="O55" s="159" t="s">
        <v>89</v>
      </c>
      <c r="P55" s="159" t="s">
        <v>90</v>
      </c>
      <c r="Q55" s="159" t="s">
        <v>91</v>
      </c>
      <c r="R55" s="159" t="s">
        <v>92</v>
      </c>
      <c r="S55" s="159" t="s">
        <v>964</v>
      </c>
      <c r="T55" s="159" t="s">
        <v>15</v>
      </c>
    </row>
    <row r="56" spans="1:20" s="19" customFormat="1" ht="75.75" customHeight="1" x14ac:dyDescent="0.3">
      <c r="A56" s="634">
        <v>1</v>
      </c>
      <c r="B56" s="635" t="s">
        <v>214</v>
      </c>
      <c r="C56" s="635" t="s">
        <v>709</v>
      </c>
      <c r="D56" s="636" t="s">
        <v>241</v>
      </c>
      <c r="E56" s="710" t="s">
        <v>710</v>
      </c>
      <c r="F56" s="733"/>
      <c r="G56" s="656">
        <f t="shared" ref="G56:G75" si="3">2026-E56</f>
        <v>12</v>
      </c>
      <c r="H56" s="657" t="s">
        <v>95</v>
      </c>
      <c r="I56" s="524">
        <f>3.4*20.6</f>
        <v>70.040000000000006</v>
      </c>
      <c r="J56" s="519" t="s">
        <v>96</v>
      </c>
      <c r="K56" s="626">
        <f t="shared" ref="K56:K67" si="4">+I56-J56</f>
        <v>70.040000000000006</v>
      </c>
      <c r="L56" s="520">
        <v>0.99199999999999999</v>
      </c>
      <c r="M56" s="521">
        <v>268000</v>
      </c>
      <c r="N56" s="522">
        <v>0.6</v>
      </c>
      <c r="O56" s="521">
        <f>+M56</f>
        <v>268000</v>
      </c>
      <c r="P56" s="523">
        <f t="shared" ref="P56:P75" si="5">+ROUND((K56*L56*O56*N56),-3)</f>
        <v>11172000</v>
      </c>
      <c r="Q56" s="521" t="s">
        <v>97</v>
      </c>
      <c r="R56" s="521" t="s">
        <v>97</v>
      </c>
      <c r="S56" s="523">
        <f t="shared" ref="S56:S75" si="6">P56</f>
        <v>11172000</v>
      </c>
      <c r="T56" s="517" t="s">
        <v>166</v>
      </c>
    </row>
    <row r="57" spans="1:20" s="19" customFormat="1" ht="75.75" customHeight="1" x14ac:dyDescent="0.3">
      <c r="A57" s="634">
        <v>2</v>
      </c>
      <c r="B57" s="635" t="s">
        <v>99</v>
      </c>
      <c r="C57" s="635" t="s">
        <v>711</v>
      </c>
      <c r="D57" s="636" t="s">
        <v>241</v>
      </c>
      <c r="E57" s="710" t="s">
        <v>710</v>
      </c>
      <c r="F57" s="733"/>
      <c r="G57" s="656">
        <f t="shared" si="3"/>
        <v>12</v>
      </c>
      <c r="H57" s="657" t="s">
        <v>95</v>
      </c>
      <c r="I57" s="524">
        <f>0.4*0.4*2.5</f>
        <v>0.40000000000000008</v>
      </c>
      <c r="J57" s="519" t="s">
        <v>96</v>
      </c>
      <c r="K57" s="626">
        <f t="shared" si="4"/>
        <v>0.40000000000000008</v>
      </c>
      <c r="L57" s="520">
        <v>0.99199999999999999</v>
      </c>
      <c r="M57" s="521">
        <v>2556000</v>
      </c>
      <c r="N57" s="522">
        <v>0.6</v>
      </c>
      <c r="O57" s="521">
        <f>+M57</f>
        <v>2556000</v>
      </c>
      <c r="P57" s="523">
        <f t="shared" si="5"/>
        <v>609000</v>
      </c>
      <c r="Q57" s="521" t="s">
        <v>97</v>
      </c>
      <c r="R57" s="521" t="s">
        <v>97</v>
      </c>
      <c r="S57" s="523">
        <f t="shared" si="6"/>
        <v>609000</v>
      </c>
      <c r="T57" s="517" t="s">
        <v>386</v>
      </c>
    </row>
    <row r="58" spans="1:20" s="19" customFormat="1" ht="75.75" customHeight="1" x14ac:dyDescent="0.3">
      <c r="A58" s="634">
        <v>3</v>
      </c>
      <c r="B58" s="635" t="s">
        <v>99</v>
      </c>
      <c r="C58" s="635" t="s">
        <v>897</v>
      </c>
      <c r="D58" s="636" t="s">
        <v>217</v>
      </c>
      <c r="E58" s="710" t="s">
        <v>710</v>
      </c>
      <c r="F58" s="733"/>
      <c r="G58" s="656">
        <f t="shared" si="3"/>
        <v>12</v>
      </c>
      <c r="H58" s="657" t="s">
        <v>95</v>
      </c>
      <c r="I58" s="524">
        <f>0.4*0.4*2.5*2</f>
        <v>0.80000000000000016</v>
      </c>
      <c r="J58" s="519" t="s">
        <v>96</v>
      </c>
      <c r="K58" s="626">
        <f t="shared" si="4"/>
        <v>0.80000000000000016</v>
      </c>
      <c r="L58" s="520">
        <v>0.99199999999999999</v>
      </c>
      <c r="M58" s="521">
        <v>2556000</v>
      </c>
      <c r="N58" s="522">
        <v>0.6</v>
      </c>
      <c r="O58" s="521">
        <f t="shared" ref="O58:O59" si="7">+M58</f>
        <v>2556000</v>
      </c>
      <c r="P58" s="523">
        <f t="shared" si="5"/>
        <v>1217000</v>
      </c>
      <c r="Q58" s="521"/>
      <c r="R58" s="521"/>
      <c r="S58" s="523">
        <f t="shared" si="6"/>
        <v>1217000</v>
      </c>
      <c r="T58" s="517" t="s">
        <v>712</v>
      </c>
    </row>
    <row r="59" spans="1:20" s="19" customFormat="1" ht="75.75" customHeight="1" x14ac:dyDescent="0.3">
      <c r="A59" s="634" t="s">
        <v>142</v>
      </c>
      <c r="B59" s="635" t="s">
        <v>102</v>
      </c>
      <c r="C59" s="635" t="s">
        <v>898</v>
      </c>
      <c r="D59" s="636" t="s">
        <v>241</v>
      </c>
      <c r="E59" s="710" t="s">
        <v>710</v>
      </c>
      <c r="F59" s="733"/>
      <c r="G59" s="656">
        <f t="shared" si="3"/>
        <v>12</v>
      </c>
      <c r="H59" s="657" t="s">
        <v>95</v>
      </c>
      <c r="I59" s="524">
        <f>0.4*2.5*8*2</f>
        <v>16</v>
      </c>
      <c r="J59" s="519" t="s">
        <v>96</v>
      </c>
      <c r="K59" s="626">
        <f>+I59-J59</f>
        <v>16</v>
      </c>
      <c r="L59" s="520">
        <v>0.99199999999999999</v>
      </c>
      <c r="M59" s="521">
        <v>437000</v>
      </c>
      <c r="N59" s="522">
        <v>0.6</v>
      </c>
      <c r="O59" s="521">
        <f t="shared" si="7"/>
        <v>437000</v>
      </c>
      <c r="P59" s="523">
        <f t="shared" si="5"/>
        <v>4162000</v>
      </c>
      <c r="Q59" s="521"/>
      <c r="R59" s="521"/>
      <c r="S59" s="523">
        <f t="shared" si="6"/>
        <v>4162000</v>
      </c>
      <c r="T59" s="517" t="s">
        <v>712</v>
      </c>
    </row>
    <row r="60" spans="1:20" s="19" customFormat="1" ht="186" customHeight="1" x14ac:dyDescent="0.3">
      <c r="A60" s="634">
        <v>4</v>
      </c>
      <c r="B60" s="635" t="s">
        <v>93</v>
      </c>
      <c r="C60" s="635" t="s">
        <v>1085</v>
      </c>
      <c r="D60" s="636" t="s">
        <v>241</v>
      </c>
      <c r="E60" s="710" t="s">
        <v>710</v>
      </c>
      <c r="F60" s="733"/>
      <c r="G60" s="656">
        <f t="shared" si="3"/>
        <v>12</v>
      </c>
      <c r="H60" s="657" t="s">
        <v>95</v>
      </c>
      <c r="I60" s="524">
        <f>2*12.1</f>
        <v>24.2</v>
      </c>
      <c r="J60" s="519" t="s">
        <v>96</v>
      </c>
      <c r="K60" s="626">
        <f t="shared" si="4"/>
        <v>24.2</v>
      </c>
      <c r="L60" s="520">
        <v>0.99199999999999999</v>
      </c>
      <c r="M60" s="521">
        <f>1487000*80%</f>
        <v>1189600</v>
      </c>
      <c r="N60" s="522">
        <v>0.6</v>
      </c>
      <c r="O60" s="521">
        <f>+M60*0.9</f>
        <v>1070640</v>
      </c>
      <c r="P60" s="523">
        <f t="shared" si="5"/>
        <v>15421000</v>
      </c>
      <c r="Q60" s="521" t="s">
        <v>97</v>
      </c>
      <c r="R60" s="521" t="s">
        <v>97</v>
      </c>
      <c r="S60" s="523">
        <f t="shared" si="6"/>
        <v>15421000</v>
      </c>
      <c r="T60" s="517" t="s">
        <v>1009</v>
      </c>
    </row>
    <row r="61" spans="1:20" s="19" customFormat="1" ht="41.25" customHeight="1" x14ac:dyDescent="0.3">
      <c r="A61" s="634">
        <v>5</v>
      </c>
      <c r="B61" s="635" t="s">
        <v>105</v>
      </c>
      <c r="C61" s="635" t="s">
        <v>713</v>
      </c>
      <c r="D61" s="636" t="s">
        <v>241</v>
      </c>
      <c r="E61" s="710" t="s">
        <v>710</v>
      </c>
      <c r="F61" s="733"/>
      <c r="G61" s="656">
        <f t="shared" si="3"/>
        <v>12</v>
      </c>
      <c r="H61" s="657" t="s">
        <v>95</v>
      </c>
      <c r="I61" s="524">
        <f>2.5*7.1</f>
        <v>17.75</v>
      </c>
      <c r="J61" s="519" t="s">
        <v>96</v>
      </c>
      <c r="K61" s="626">
        <f t="shared" si="4"/>
        <v>17.75</v>
      </c>
      <c r="L61" s="520">
        <v>0.99199999999999999</v>
      </c>
      <c r="M61" s="521">
        <v>835000</v>
      </c>
      <c r="N61" s="522">
        <v>0.6</v>
      </c>
      <c r="O61" s="521">
        <f>+M61</f>
        <v>835000</v>
      </c>
      <c r="P61" s="523">
        <f t="shared" si="5"/>
        <v>8822000</v>
      </c>
      <c r="Q61" s="521" t="s">
        <v>97</v>
      </c>
      <c r="R61" s="521" t="s">
        <v>97</v>
      </c>
      <c r="S61" s="523">
        <f t="shared" si="6"/>
        <v>8822000</v>
      </c>
      <c r="T61" s="517" t="s">
        <v>174</v>
      </c>
    </row>
    <row r="62" spans="1:20" s="19" customFormat="1" ht="175.5" customHeight="1" x14ac:dyDescent="0.3">
      <c r="A62" s="634">
        <v>6</v>
      </c>
      <c r="B62" s="635" t="s">
        <v>111</v>
      </c>
      <c r="C62" s="635" t="s">
        <v>1079</v>
      </c>
      <c r="D62" s="636" t="s">
        <v>241</v>
      </c>
      <c r="E62" s="710" t="s">
        <v>710</v>
      </c>
      <c r="F62" s="733"/>
      <c r="G62" s="656">
        <f t="shared" si="3"/>
        <v>12</v>
      </c>
      <c r="H62" s="657" t="s">
        <v>95</v>
      </c>
      <c r="I62" s="524">
        <f>3.2*5.3</f>
        <v>16.96</v>
      </c>
      <c r="J62" s="519" t="s">
        <v>96</v>
      </c>
      <c r="K62" s="626">
        <f t="shared" si="4"/>
        <v>16.96</v>
      </c>
      <c r="L62" s="520">
        <v>0.99199999999999999</v>
      </c>
      <c r="M62" s="521">
        <v>1400000</v>
      </c>
      <c r="N62" s="522">
        <v>0.6</v>
      </c>
      <c r="O62" s="521">
        <f>+M62*90%</f>
        <v>1260000</v>
      </c>
      <c r="P62" s="523">
        <f t="shared" si="5"/>
        <v>12719000</v>
      </c>
      <c r="Q62" s="521" t="s">
        <v>97</v>
      </c>
      <c r="R62" s="521" t="s">
        <v>97</v>
      </c>
      <c r="S62" s="523">
        <f t="shared" si="6"/>
        <v>12719000</v>
      </c>
      <c r="T62" s="517" t="s">
        <v>1080</v>
      </c>
    </row>
    <row r="63" spans="1:20" s="19" customFormat="1" ht="147" customHeight="1" x14ac:dyDescent="0.3">
      <c r="A63" s="734" t="s">
        <v>101</v>
      </c>
      <c r="B63" s="635" t="s">
        <v>102</v>
      </c>
      <c r="C63" s="635" t="s">
        <v>1081</v>
      </c>
      <c r="D63" s="636" t="s">
        <v>217</v>
      </c>
      <c r="E63" s="710" t="s">
        <v>710</v>
      </c>
      <c r="F63" s="733"/>
      <c r="G63" s="656">
        <f t="shared" si="3"/>
        <v>12</v>
      </c>
      <c r="H63" s="657" t="s">
        <v>95</v>
      </c>
      <c r="I63" s="524">
        <f>0.3*0.3*5.3</f>
        <v>0.47699999999999998</v>
      </c>
      <c r="J63" s="519" t="s">
        <v>96</v>
      </c>
      <c r="K63" s="626">
        <f t="shared" si="4"/>
        <v>0.47699999999999998</v>
      </c>
      <c r="L63" s="520">
        <v>0.99199999999999999</v>
      </c>
      <c r="M63" s="521">
        <v>1961000</v>
      </c>
      <c r="N63" s="522">
        <v>0.6</v>
      </c>
      <c r="O63" s="521">
        <f>+M63</f>
        <v>1961000</v>
      </c>
      <c r="P63" s="523">
        <f t="shared" si="5"/>
        <v>557000</v>
      </c>
      <c r="Q63" s="521" t="s">
        <v>97</v>
      </c>
      <c r="R63" s="521" t="s">
        <v>97</v>
      </c>
      <c r="S63" s="523">
        <f t="shared" si="6"/>
        <v>557000</v>
      </c>
      <c r="T63" s="517" t="s">
        <v>1066</v>
      </c>
    </row>
    <row r="64" spans="1:20" s="19" customFormat="1" ht="123.75" customHeight="1" x14ac:dyDescent="0.3">
      <c r="A64" s="634">
        <v>7</v>
      </c>
      <c r="B64" s="635" t="s">
        <v>111</v>
      </c>
      <c r="C64" s="635" t="s">
        <v>1082</v>
      </c>
      <c r="D64" s="636" t="s">
        <v>241</v>
      </c>
      <c r="E64" s="710" t="s">
        <v>710</v>
      </c>
      <c r="F64" s="733"/>
      <c r="G64" s="656">
        <f t="shared" si="3"/>
        <v>12</v>
      </c>
      <c r="H64" s="657" t="s">
        <v>95</v>
      </c>
      <c r="I64" s="524">
        <f>1.7*4.3</f>
        <v>7.31</v>
      </c>
      <c r="J64" s="519" t="s">
        <v>96</v>
      </c>
      <c r="K64" s="626">
        <f t="shared" si="4"/>
        <v>7.31</v>
      </c>
      <c r="L64" s="520">
        <v>0.99199999999999999</v>
      </c>
      <c r="M64" s="521">
        <v>1400000</v>
      </c>
      <c r="N64" s="522">
        <v>0.6</v>
      </c>
      <c r="O64" s="521">
        <f>M64*90%*70%</f>
        <v>882000</v>
      </c>
      <c r="P64" s="523">
        <f t="shared" si="5"/>
        <v>3838000</v>
      </c>
      <c r="Q64" s="521" t="s">
        <v>97</v>
      </c>
      <c r="R64" s="521" t="s">
        <v>97</v>
      </c>
      <c r="S64" s="523">
        <f t="shared" si="6"/>
        <v>3838000</v>
      </c>
      <c r="T64" s="517" t="s">
        <v>1030</v>
      </c>
    </row>
    <row r="65" spans="1:20" s="19" customFormat="1" ht="105" customHeight="1" x14ac:dyDescent="0.3">
      <c r="A65" s="734" t="s">
        <v>101</v>
      </c>
      <c r="B65" s="635" t="s">
        <v>102</v>
      </c>
      <c r="C65" s="635" t="s">
        <v>1083</v>
      </c>
      <c r="D65" s="636" t="s">
        <v>217</v>
      </c>
      <c r="E65" s="710" t="s">
        <v>710</v>
      </c>
      <c r="F65" s="733"/>
      <c r="G65" s="656">
        <f t="shared" si="3"/>
        <v>12</v>
      </c>
      <c r="H65" s="657" t="s">
        <v>95</v>
      </c>
      <c r="I65" s="524">
        <f>0.3*0.3*4.3</f>
        <v>0.38699999999999996</v>
      </c>
      <c r="J65" s="519" t="s">
        <v>96</v>
      </c>
      <c r="K65" s="626">
        <f t="shared" si="4"/>
        <v>0.38699999999999996</v>
      </c>
      <c r="L65" s="520">
        <v>0.99199999999999999</v>
      </c>
      <c r="M65" s="521">
        <v>1961000</v>
      </c>
      <c r="N65" s="522">
        <v>0.6</v>
      </c>
      <c r="O65" s="521">
        <f>+M65</f>
        <v>1961000</v>
      </c>
      <c r="P65" s="523">
        <f t="shared" si="5"/>
        <v>452000</v>
      </c>
      <c r="Q65" s="521" t="s">
        <v>97</v>
      </c>
      <c r="R65" s="521" t="s">
        <v>97</v>
      </c>
      <c r="S65" s="523">
        <f t="shared" si="6"/>
        <v>452000</v>
      </c>
      <c r="T65" s="517" t="s">
        <v>415</v>
      </c>
    </row>
    <row r="66" spans="1:20" s="19" customFormat="1" ht="105" customHeight="1" x14ac:dyDescent="0.3">
      <c r="A66" s="734" t="s">
        <v>101</v>
      </c>
      <c r="B66" s="635" t="s">
        <v>102</v>
      </c>
      <c r="C66" s="635" t="s">
        <v>1084</v>
      </c>
      <c r="D66" s="636" t="s">
        <v>241</v>
      </c>
      <c r="E66" s="710" t="s">
        <v>710</v>
      </c>
      <c r="F66" s="733"/>
      <c r="G66" s="656">
        <f t="shared" si="3"/>
        <v>12</v>
      </c>
      <c r="H66" s="657" t="s">
        <v>95</v>
      </c>
      <c r="I66" s="524">
        <f>2*4.3</f>
        <v>8.6</v>
      </c>
      <c r="J66" s="519" t="s">
        <v>96</v>
      </c>
      <c r="K66" s="626">
        <f t="shared" si="4"/>
        <v>8.6</v>
      </c>
      <c r="L66" s="520">
        <v>0.99199999999999999</v>
      </c>
      <c r="M66" s="521">
        <v>384000</v>
      </c>
      <c r="N66" s="522">
        <v>0.6</v>
      </c>
      <c r="O66" s="521">
        <f>+M66</f>
        <v>384000</v>
      </c>
      <c r="P66" s="523">
        <f t="shared" si="5"/>
        <v>1966000</v>
      </c>
      <c r="Q66" s="521" t="s">
        <v>97</v>
      </c>
      <c r="R66" s="521" t="s">
        <v>97</v>
      </c>
      <c r="S66" s="523">
        <f t="shared" si="6"/>
        <v>1966000</v>
      </c>
      <c r="T66" s="517" t="s">
        <v>909</v>
      </c>
    </row>
    <row r="67" spans="1:20" s="19" customFormat="1" ht="61.5" customHeight="1" x14ac:dyDescent="0.3">
      <c r="A67" s="634">
        <v>8</v>
      </c>
      <c r="B67" s="635" t="s">
        <v>113</v>
      </c>
      <c r="C67" s="635" t="s">
        <v>714</v>
      </c>
      <c r="D67" s="636" t="s">
        <v>217</v>
      </c>
      <c r="E67" s="710" t="s">
        <v>710</v>
      </c>
      <c r="F67" s="733"/>
      <c r="G67" s="656">
        <f t="shared" si="3"/>
        <v>12</v>
      </c>
      <c r="H67" s="657" t="s">
        <v>95</v>
      </c>
      <c r="I67" s="524">
        <f>5.3*20.6</f>
        <v>109.18</v>
      </c>
      <c r="J67" s="519" t="s">
        <v>96</v>
      </c>
      <c r="K67" s="626">
        <f t="shared" si="4"/>
        <v>109.18</v>
      </c>
      <c r="L67" s="520">
        <v>0.99199999999999999</v>
      </c>
      <c r="M67" s="521">
        <v>418000</v>
      </c>
      <c r="N67" s="522">
        <v>0.6</v>
      </c>
      <c r="O67" s="521">
        <f>+M67</f>
        <v>418000</v>
      </c>
      <c r="P67" s="523">
        <f t="shared" si="5"/>
        <v>27163000</v>
      </c>
      <c r="Q67" s="521" t="s">
        <v>97</v>
      </c>
      <c r="R67" s="521" t="s">
        <v>97</v>
      </c>
      <c r="S67" s="523">
        <f t="shared" si="6"/>
        <v>27163000</v>
      </c>
      <c r="T67" s="517" t="s">
        <v>318</v>
      </c>
    </row>
    <row r="68" spans="1:20" s="19" customFormat="1" ht="102.75" customHeight="1" x14ac:dyDescent="0.3">
      <c r="A68" s="634">
        <v>9</v>
      </c>
      <c r="B68" s="635" t="s">
        <v>120</v>
      </c>
      <c r="C68" s="635" t="s">
        <v>715</v>
      </c>
      <c r="D68" s="636" t="s">
        <v>241</v>
      </c>
      <c r="E68" s="710" t="s">
        <v>710</v>
      </c>
      <c r="F68" s="733"/>
      <c r="G68" s="656">
        <f t="shared" si="3"/>
        <v>12</v>
      </c>
      <c r="H68" s="657" t="s">
        <v>95</v>
      </c>
      <c r="I68" s="524">
        <f>(3.8*3.5)+(4.6*15.5)</f>
        <v>84.6</v>
      </c>
      <c r="J68" s="519" t="s">
        <v>96</v>
      </c>
      <c r="K68" s="626">
        <f>I68+J68</f>
        <v>84.6</v>
      </c>
      <c r="L68" s="520">
        <v>0.99199999999999999</v>
      </c>
      <c r="M68" s="521">
        <v>249000</v>
      </c>
      <c r="N68" s="522">
        <v>0.6</v>
      </c>
      <c r="O68" s="521">
        <f>M68</f>
        <v>249000</v>
      </c>
      <c r="P68" s="523">
        <f t="shared" si="5"/>
        <v>12538000</v>
      </c>
      <c r="Q68" s="521"/>
      <c r="R68" s="521"/>
      <c r="S68" s="523">
        <f t="shared" si="6"/>
        <v>12538000</v>
      </c>
      <c r="T68" s="517" t="s">
        <v>487</v>
      </c>
    </row>
    <row r="69" spans="1:20" s="19" customFormat="1" ht="183" customHeight="1" x14ac:dyDescent="0.3">
      <c r="A69" s="634">
        <v>10</v>
      </c>
      <c r="B69" s="635" t="s">
        <v>441</v>
      </c>
      <c r="C69" s="635" t="s">
        <v>716</v>
      </c>
      <c r="D69" s="636" t="s">
        <v>241</v>
      </c>
      <c r="E69" s="710" t="s">
        <v>243</v>
      </c>
      <c r="F69" s="733"/>
      <c r="G69" s="656">
        <f t="shared" si="3"/>
        <v>16</v>
      </c>
      <c r="H69" s="657" t="s">
        <v>95</v>
      </c>
      <c r="I69" s="524">
        <f>1.1*5</f>
        <v>5.5</v>
      </c>
      <c r="J69" s="519" t="s">
        <v>96</v>
      </c>
      <c r="K69" s="626">
        <f t="shared" ref="K69:K75" si="8">+I69-J69</f>
        <v>5.5</v>
      </c>
      <c r="L69" s="520">
        <v>0.99199999999999999</v>
      </c>
      <c r="M69" s="521">
        <v>418000</v>
      </c>
      <c r="N69" s="522">
        <v>0.6</v>
      </c>
      <c r="O69" s="521">
        <f>+M69</f>
        <v>418000</v>
      </c>
      <c r="P69" s="523">
        <f t="shared" si="5"/>
        <v>1368000</v>
      </c>
      <c r="Q69" s="521" t="s">
        <v>97</v>
      </c>
      <c r="R69" s="521" t="s">
        <v>97</v>
      </c>
      <c r="S69" s="523">
        <f t="shared" si="6"/>
        <v>1368000</v>
      </c>
      <c r="T69" s="517" t="s">
        <v>211</v>
      </c>
    </row>
    <row r="70" spans="1:20" s="19" customFormat="1" ht="60" customHeight="1" x14ac:dyDescent="0.3">
      <c r="A70" s="634">
        <v>8</v>
      </c>
      <c r="B70" s="635" t="s">
        <v>717</v>
      </c>
      <c r="C70" s="635" t="s">
        <v>718</v>
      </c>
      <c r="D70" s="636" t="s">
        <v>217</v>
      </c>
      <c r="E70" s="710" t="s">
        <v>243</v>
      </c>
      <c r="F70" s="733"/>
      <c r="G70" s="656">
        <f t="shared" si="3"/>
        <v>16</v>
      </c>
      <c r="H70" s="657" t="s">
        <v>95</v>
      </c>
      <c r="I70" s="735">
        <f>0.1*0.9*2</f>
        <v>0.18000000000000002</v>
      </c>
      <c r="J70" s="519" t="s">
        <v>96</v>
      </c>
      <c r="K70" s="626">
        <f t="shared" si="8"/>
        <v>0.18000000000000002</v>
      </c>
      <c r="L70" s="520">
        <v>0.99199999999999999</v>
      </c>
      <c r="M70" s="521">
        <v>638000</v>
      </c>
      <c r="N70" s="522">
        <v>0.6</v>
      </c>
      <c r="O70" s="521">
        <f>+M70</f>
        <v>638000</v>
      </c>
      <c r="P70" s="523">
        <f t="shared" si="5"/>
        <v>68000</v>
      </c>
      <c r="Q70" s="521" t="s">
        <v>97</v>
      </c>
      <c r="R70" s="521" t="s">
        <v>97</v>
      </c>
      <c r="S70" s="523">
        <f t="shared" si="6"/>
        <v>68000</v>
      </c>
      <c r="T70" s="517" t="s">
        <v>719</v>
      </c>
    </row>
    <row r="71" spans="1:20" s="19" customFormat="1" ht="75" customHeight="1" x14ac:dyDescent="0.3">
      <c r="A71" s="634"/>
      <c r="B71" s="635" t="s">
        <v>720</v>
      </c>
      <c r="C71" s="635" t="s">
        <v>721</v>
      </c>
      <c r="D71" s="636" t="s">
        <v>217</v>
      </c>
      <c r="E71" s="710" t="s">
        <v>243</v>
      </c>
      <c r="F71" s="733"/>
      <c r="G71" s="656">
        <f t="shared" si="3"/>
        <v>16</v>
      </c>
      <c r="H71" s="736" t="s">
        <v>95</v>
      </c>
      <c r="I71" s="714">
        <f>0.785*0.5</f>
        <v>0.39250000000000002</v>
      </c>
      <c r="J71" s="737" t="s">
        <v>96</v>
      </c>
      <c r="K71" s="626">
        <f t="shared" si="8"/>
        <v>0.39250000000000002</v>
      </c>
      <c r="L71" s="520">
        <v>0.99199999999999999</v>
      </c>
      <c r="M71" s="521">
        <v>6270000</v>
      </c>
      <c r="N71" s="522">
        <v>0.6</v>
      </c>
      <c r="O71" s="521">
        <f t="shared" ref="O71:O76" si="9">M71</f>
        <v>6270000</v>
      </c>
      <c r="P71" s="523">
        <f t="shared" si="5"/>
        <v>1465000</v>
      </c>
      <c r="Q71" s="521" t="s">
        <v>97</v>
      </c>
      <c r="R71" s="521" t="s">
        <v>97</v>
      </c>
      <c r="S71" s="523">
        <f t="shared" si="6"/>
        <v>1465000</v>
      </c>
      <c r="T71" s="517" t="s">
        <v>318</v>
      </c>
    </row>
    <row r="72" spans="1:20" s="19" customFormat="1" ht="103.5" customHeight="1" x14ac:dyDescent="0.3">
      <c r="A72" s="634">
        <v>9</v>
      </c>
      <c r="B72" s="635" t="s">
        <v>722</v>
      </c>
      <c r="C72" s="635" t="s">
        <v>723</v>
      </c>
      <c r="D72" s="636" t="s">
        <v>241</v>
      </c>
      <c r="E72" s="710" t="s">
        <v>243</v>
      </c>
      <c r="F72" s="733"/>
      <c r="G72" s="656">
        <f t="shared" si="3"/>
        <v>16</v>
      </c>
      <c r="H72" s="736" t="s">
        <v>95</v>
      </c>
      <c r="I72" s="714">
        <f>4.4*10</f>
        <v>44</v>
      </c>
      <c r="J72" s="737" t="s">
        <v>96</v>
      </c>
      <c r="K72" s="626">
        <f t="shared" si="8"/>
        <v>44</v>
      </c>
      <c r="L72" s="520">
        <v>0.99199999999999999</v>
      </c>
      <c r="M72" s="521">
        <v>3791000</v>
      </c>
      <c r="N72" s="522">
        <v>0.6</v>
      </c>
      <c r="O72" s="521">
        <f t="shared" si="9"/>
        <v>3791000</v>
      </c>
      <c r="P72" s="523">
        <f t="shared" si="5"/>
        <v>99282000</v>
      </c>
      <c r="Q72" s="521" t="s">
        <v>97</v>
      </c>
      <c r="R72" s="521" t="s">
        <v>97</v>
      </c>
      <c r="S72" s="523">
        <f t="shared" si="6"/>
        <v>99282000</v>
      </c>
      <c r="T72" s="517" t="s">
        <v>724</v>
      </c>
    </row>
    <row r="73" spans="1:20" s="19" customFormat="1" ht="89.25" customHeight="1" x14ac:dyDescent="0.3">
      <c r="A73" s="634"/>
      <c r="B73" s="635" t="s">
        <v>725</v>
      </c>
      <c r="C73" s="635" t="s">
        <v>726</v>
      </c>
      <c r="D73" s="636" t="s">
        <v>241</v>
      </c>
      <c r="E73" s="710" t="s">
        <v>243</v>
      </c>
      <c r="F73" s="733"/>
      <c r="G73" s="656">
        <f t="shared" si="3"/>
        <v>16</v>
      </c>
      <c r="H73" s="736" t="s">
        <v>95</v>
      </c>
      <c r="I73" s="714">
        <f>4.4*10</f>
        <v>44</v>
      </c>
      <c r="J73" s="737">
        <v>0</v>
      </c>
      <c r="K73" s="626">
        <f t="shared" si="8"/>
        <v>44</v>
      </c>
      <c r="L73" s="520">
        <v>0.99199999999999999</v>
      </c>
      <c r="M73" s="521">
        <v>-138000</v>
      </c>
      <c r="N73" s="522">
        <v>0.6</v>
      </c>
      <c r="O73" s="658">
        <f t="shared" si="9"/>
        <v>-138000</v>
      </c>
      <c r="P73" s="659">
        <f t="shared" si="5"/>
        <v>-3614000</v>
      </c>
      <c r="Q73" s="521" t="s">
        <v>97</v>
      </c>
      <c r="R73" s="521" t="s">
        <v>97</v>
      </c>
      <c r="S73" s="659">
        <f t="shared" si="6"/>
        <v>-3614000</v>
      </c>
      <c r="T73" s="517" t="s">
        <v>727</v>
      </c>
    </row>
    <row r="74" spans="1:20" s="19" customFormat="1" ht="110.25" customHeight="1" x14ac:dyDescent="0.3">
      <c r="A74" s="634"/>
      <c r="B74" s="635" t="s">
        <v>739</v>
      </c>
      <c r="C74" s="635" t="s">
        <v>740</v>
      </c>
      <c r="D74" s="636" t="s">
        <v>241</v>
      </c>
      <c r="E74" s="710" t="s">
        <v>243</v>
      </c>
      <c r="F74" s="733"/>
      <c r="G74" s="656">
        <f t="shared" si="3"/>
        <v>16</v>
      </c>
      <c r="H74" s="736" t="s">
        <v>95</v>
      </c>
      <c r="I74" s="714">
        <f>4.4*10</f>
        <v>44</v>
      </c>
      <c r="J74" s="737">
        <v>0</v>
      </c>
      <c r="K74" s="626">
        <f t="shared" si="8"/>
        <v>44</v>
      </c>
      <c r="L74" s="520">
        <v>0.99199999999999999</v>
      </c>
      <c r="M74" s="521">
        <v>-13000</v>
      </c>
      <c r="N74" s="522">
        <v>0.6</v>
      </c>
      <c r="O74" s="658">
        <f t="shared" si="9"/>
        <v>-13000</v>
      </c>
      <c r="P74" s="659">
        <f t="shared" si="5"/>
        <v>-340000</v>
      </c>
      <c r="Q74" s="521" t="s">
        <v>97</v>
      </c>
      <c r="R74" s="521" t="s">
        <v>97</v>
      </c>
      <c r="S74" s="659">
        <f t="shared" si="6"/>
        <v>-340000</v>
      </c>
      <c r="T74" s="517" t="s">
        <v>727</v>
      </c>
    </row>
    <row r="75" spans="1:20" s="19" customFormat="1" ht="38.25" customHeight="1" x14ac:dyDescent="0.3">
      <c r="A75" s="634">
        <v>10</v>
      </c>
      <c r="B75" s="635" t="s">
        <v>728</v>
      </c>
      <c r="C75" s="635" t="s">
        <v>729</v>
      </c>
      <c r="D75" s="636" t="s">
        <v>100</v>
      </c>
      <c r="E75" s="710" t="s">
        <v>243</v>
      </c>
      <c r="F75" s="733"/>
      <c r="G75" s="656">
        <f t="shared" si="3"/>
        <v>16</v>
      </c>
      <c r="H75" s="736" t="s">
        <v>95</v>
      </c>
      <c r="I75" s="714">
        <f>3.2*10</f>
        <v>32</v>
      </c>
      <c r="J75" s="737">
        <v>0</v>
      </c>
      <c r="K75" s="626">
        <f t="shared" si="8"/>
        <v>32</v>
      </c>
      <c r="L75" s="520">
        <v>0.99199999999999999</v>
      </c>
      <c r="M75" s="521">
        <v>268000</v>
      </c>
      <c r="N75" s="522">
        <v>0.6</v>
      </c>
      <c r="O75" s="521">
        <f t="shared" si="9"/>
        <v>268000</v>
      </c>
      <c r="P75" s="523">
        <f t="shared" si="5"/>
        <v>5104000</v>
      </c>
      <c r="Q75" s="521" t="s">
        <v>97</v>
      </c>
      <c r="R75" s="521" t="s">
        <v>97</v>
      </c>
      <c r="S75" s="523">
        <f t="shared" si="6"/>
        <v>5104000</v>
      </c>
      <c r="T75" s="517" t="s">
        <v>166</v>
      </c>
    </row>
    <row r="76" spans="1:20" s="19" customFormat="1" ht="25.5" customHeight="1" x14ac:dyDescent="0.3">
      <c r="A76" s="738"/>
      <c r="B76" s="382" t="s">
        <v>55</v>
      </c>
      <c r="C76" s="382"/>
      <c r="D76" s="64"/>
      <c r="E76" s="246"/>
      <c r="F76" s="395"/>
      <c r="G76" s="167"/>
      <c r="H76" s="167"/>
      <c r="I76" s="251"/>
      <c r="J76" s="167"/>
      <c r="K76" s="167"/>
      <c r="L76" s="167"/>
      <c r="M76" s="167"/>
      <c r="N76" s="145"/>
      <c r="O76" s="144">
        <f t="shared" si="9"/>
        <v>0</v>
      </c>
      <c r="P76" s="45"/>
      <c r="Q76" s="144" t="s">
        <v>97</v>
      </c>
      <c r="R76" s="144" t="s">
        <v>97</v>
      </c>
      <c r="S76" s="45">
        <f>SUM(S56:S75)</f>
        <v>203969000</v>
      </c>
      <c r="T76" s="167"/>
    </row>
    <row r="77" spans="1:20" s="19" customFormat="1" ht="23.25" customHeight="1" x14ac:dyDescent="0.3">
      <c r="A77" s="171" t="s">
        <v>131</v>
      </c>
      <c r="B77" s="339" t="s">
        <v>132</v>
      </c>
      <c r="C77" s="340"/>
      <c r="D77" s="341"/>
      <c r="E77" s="341"/>
      <c r="F77" s="466"/>
      <c r="G77" s="466"/>
      <c r="H77" s="466"/>
      <c r="I77" s="719"/>
      <c r="J77" s="466"/>
      <c r="K77" s="468"/>
      <c r="L77" s="468"/>
      <c r="M77" s="466"/>
      <c r="N77" s="468"/>
      <c r="O77" s="466"/>
      <c r="P77" s="469"/>
      <c r="Q77" s="466"/>
      <c r="R77" s="466"/>
      <c r="S77" s="470"/>
      <c r="T77" s="466"/>
    </row>
    <row r="78" spans="1:20" s="19" customFormat="1" ht="23.25" customHeight="1" x14ac:dyDescent="0.3">
      <c r="A78" s="171" t="s">
        <v>133</v>
      </c>
      <c r="B78" s="172" t="s">
        <v>134</v>
      </c>
      <c r="C78" s="174"/>
      <c r="D78" s="174"/>
      <c r="E78" s="174"/>
      <c r="F78" s="174"/>
      <c r="G78" s="174"/>
      <c r="H78" s="174"/>
      <c r="I78" s="387"/>
      <c r="J78" s="174"/>
      <c r="K78" s="176"/>
      <c r="L78" s="176"/>
      <c r="M78" s="174"/>
      <c r="N78" s="176"/>
      <c r="O78" s="174"/>
      <c r="P78" s="177"/>
      <c r="Q78" s="174"/>
      <c r="R78" s="174"/>
      <c r="S78" s="174"/>
      <c r="T78" s="174"/>
    </row>
    <row r="79" spans="1:20" s="19" customFormat="1" ht="23.25" customHeight="1" x14ac:dyDescent="0.3">
      <c r="A79" s="178" t="s">
        <v>135</v>
      </c>
      <c r="B79" s="471" t="s">
        <v>730</v>
      </c>
      <c r="C79" s="472"/>
      <c r="D79" s="472"/>
      <c r="E79" s="472"/>
      <c r="F79" s="472"/>
      <c r="G79" s="472"/>
      <c r="H79" s="472"/>
      <c r="I79" s="472"/>
      <c r="J79" s="472"/>
      <c r="K79" s="472"/>
      <c r="L79" s="472"/>
      <c r="M79" s="472"/>
      <c r="N79" s="472"/>
      <c r="O79" s="472"/>
      <c r="P79" s="472"/>
      <c r="Q79" s="472"/>
      <c r="R79" s="473"/>
      <c r="S79" s="29">
        <f>+S76+S50+S46</f>
        <v>361807000</v>
      </c>
      <c r="T79" s="174" t="s">
        <v>137</v>
      </c>
    </row>
    <row r="80" spans="1:20" ht="18.75" x14ac:dyDescent="0.3">
      <c r="A80" s="306"/>
      <c r="B80" s="739" t="s">
        <v>755</v>
      </c>
      <c r="C80" s="739"/>
      <c r="D80" s="306"/>
      <c r="E80" s="68"/>
    </row>
    <row r="81" spans="1:4" ht="37.5" x14ac:dyDescent="0.3">
      <c r="A81" s="25">
        <v>1</v>
      </c>
      <c r="B81" s="51" t="s">
        <v>731</v>
      </c>
      <c r="C81" s="26">
        <v>2</v>
      </c>
      <c r="D81" s="52" t="s">
        <v>645</v>
      </c>
    </row>
    <row r="82" spans="1:4" ht="37.5" x14ac:dyDescent="0.3">
      <c r="A82" s="53">
        <v>2</v>
      </c>
      <c r="B82" s="44" t="s">
        <v>732</v>
      </c>
      <c r="C82" s="54">
        <f>J40+J9</f>
        <v>401</v>
      </c>
      <c r="D82" s="30" t="s">
        <v>94</v>
      </c>
    </row>
    <row r="83" spans="1:4" ht="18.75" x14ac:dyDescent="0.3">
      <c r="A83" s="31" t="s">
        <v>97</v>
      </c>
      <c r="B83" s="32" t="s">
        <v>733</v>
      </c>
      <c r="C83" s="33">
        <v>0</v>
      </c>
      <c r="D83" s="30" t="s">
        <v>94</v>
      </c>
    </row>
    <row r="84" spans="1:4" ht="18.75" x14ac:dyDescent="0.3">
      <c r="A84" s="31" t="s">
        <v>97</v>
      </c>
      <c r="B84" s="32" t="s">
        <v>679</v>
      </c>
      <c r="C84" s="54">
        <f>I46+I14</f>
        <v>401</v>
      </c>
      <c r="D84" s="30" t="s">
        <v>94</v>
      </c>
    </row>
    <row r="85" spans="1:4" ht="18.75" x14ac:dyDescent="0.3">
      <c r="A85" s="31" t="s">
        <v>97</v>
      </c>
      <c r="B85" s="32" t="s">
        <v>734</v>
      </c>
      <c r="C85" s="55">
        <f>L44+L45+L13</f>
        <v>0</v>
      </c>
      <c r="D85" s="30" t="s">
        <v>94</v>
      </c>
    </row>
    <row r="86" spans="1:4" ht="18.75" x14ac:dyDescent="0.3">
      <c r="A86" s="53">
        <v>3</v>
      </c>
      <c r="B86" s="28" t="s">
        <v>646</v>
      </c>
      <c r="C86" s="29">
        <f>C88+C94</f>
        <v>825399000</v>
      </c>
      <c r="D86" s="30" t="s">
        <v>647</v>
      </c>
    </row>
    <row r="87" spans="1:4" ht="18.75" x14ac:dyDescent="0.3">
      <c r="A87" s="31"/>
      <c r="B87" s="32" t="s">
        <v>648</v>
      </c>
      <c r="C87" s="33"/>
      <c r="D87" s="30"/>
    </row>
    <row r="88" spans="1:4" ht="56.25" x14ac:dyDescent="0.3">
      <c r="A88" s="27" t="s">
        <v>738</v>
      </c>
      <c r="B88" s="44" t="s">
        <v>649</v>
      </c>
      <c r="C88" s="29">
        <f>SUM(C89:C93)</f>
        <v>807631000</v>
      </c>
      <c r="D88" s="30" t="s">
        <v>647</v>
      </c>
    </row>
    <row r="89" spans="1:4" ht="18.75" x14ac:dyDescent="0.3">
      <c r="A89" s="31" t="s">
        <v>650</v>
      </c>
      <c r="B89" s="32" t="s">
        <v>651</v>
      </c>
      <c r="C89" s="29">
        <f>S46+S14</f>
        <v>380449000</v>
      </c>
      <c r="D89" s="30" t="s">
        <v>647</v>
      </c>
    </row>
    <row r="90" spans="1:4" ht="18.75" x14ac:dyDescent="0.3">
      <c r="A90" s="31" t="s">
        <v>97</v>
      </c>
      <c r="B90" s="32" t="s">
        <v>652</v>
      </c>
      <c r="C90" s="33">
        <v>0</v>
      </c>
      <c r="D90" s="30" t="s">
        <v>647</v>
      </c>
    </row>
    <row r="91" spans="1:4" ht="18.75" x14ac:dyDescent="0.3">
      <c r="A91" s="31" t="s">
        <v>653</v>
      </c>
      <c r="B91" s="32" t="s">
        <v>654</v>
      </c>
      <c r="C91" s="29">
        <f>S51</f>
        <v>762000</v>
      </c>
      <c r="D91" s="30" t="s">
        <v>647</v>
      </c>
    </row>
    <row r="92" spans="1:4" ht="18.75" x14ac:dyDescent="0.3">
      <c r="A92" s="34" t="s">
        <v>655</v>
      </c>
      <c r="B92" s="32" t="s">
        <v>656</v>
      </c>
      <c r="C92" s="29">
        <f>S76+S28</f>
        <v>426420000</v>
      </c>
      <c r="D92" s="30" t="s">
        <v>647</v>
      </c>
    </row>
    <row r="93" spans="1:4" ht="18.75" x14ac:dyDescent="0.3">
      <c r="A93" s="31" t="s">
        <v>657</v>
      </c>
      <c r="B93" s="32" t="s">
        <v>658</v>
      </c>
      <c r="C93" s="33">
        <v>0</v>
      </c>
      <c r="D93" s="30" t="s">
        <v>647</v>
      </c>
    </row>
    <row r="94" spans="1:4" ht="67.5" customHeight="1" x14ac:dyDescent="0.3">
      <c r="A94" s="27" t="s">
        <v>737</v>
      </c>
      <c r="B94" s="24" t="s">
        <v>659</v>
      </c>
      <c r="C94" s="29">
        <f>ROUND((C88*2.2%),-3)</f>
        <v>17768000</v>
      </c>
      <c r="D94" s="30" t="s">
        <v>647</v>
      </c>
    </row>
  </sheetData>
  <mergeCells count="33">
    <mergeCell ref="B1:S1"/>
    <mergeCell ref="B2:S2"/>
    <mergeCell ref="B3:S3"/>
    <mergeCell ref="B4:S4"/>
    <mergeCell ref="A32:T32"/>
    <mergeCell ref="A33:T33"/>
    <mergeCell ref="A34:T34"/>
    <mergeCell ref="A35:T35"/>
    <mergeCell ref="D37:F37"/>
    <mergeCell ref="G37:I37"/>
    <mergeCell ref="J37:L37"/>
    <mergeCell ref="E38:F38"/>
    <mergeCell ref="H38:I38"/>
    <mergeCell ref="K38:L38"/>
    <mergeCell ref="H42:H43"/>
    <mergeCell ref="D42:G42"/>
    <mergeCell ref="I42:K42"/>
    <mergeCell ref="L42:M42"/>
    <mergeCell ref="S42:S43"/>
    <mergeCell ref="T42:T43"/>
    <mergeCell ref="M37:M39"/>
    <mergeCell ref="N37:N39"/>
    <mergeCell ref="O37:O39"/>
    <mergeCell ref="P37:P39"/>
    <mergeCell ref="Q37:Q39"/>
    <mergeCell ref="R37:R39"/>
    <mergeCell ref="S37:S39"/>
    <mergeCell ref="T37:T39"/>
    <mergeCell ref="R42:R43"/>
    <mergeCell ref="N42:N43"/>
    <mergeCell ref="O42:O43"/>
    <mergeCell ref="P42:P43"/>
    <mergeCell ref="Q42:Q43"/>
  </mergeCells>
  <pageMargins left="0.14230205599300089" right="0.11384186351706037" top="9.9611767279090116E-2" bottom="0.23" header="0" footer="0"/>
  <pageSetup paperSize="9" scale="46" fitToHeight="0" orientation="landscape" r:id="rId1"/>
  <rowBreaks count="2" manualBreakCount="2">
    <brk id="30" max="16383" man="1"/>
    <brk id="56" max="1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28 HỘ BT TÀI SẢN</vt:lpstr>
      <vt:lpstr>DANH SÁCH</vt:lpstr>
      <vt:lpstr>2 HỘ CÓ ĐẤT</vt:lpstr>
      <vt:lpstr>'28 HỘ BT TÀI SẢN'!Print_Area</vt:lpstr>
      <vt:lpstr>'DANH SÁCH'!Print_Titles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Admin</cp:lastModifiedBy>
  <cp:lastPrinted>2026-05-28T02:16:35Z</cp:lastPrinted>
  <dcterms:created xsi:type="dcterms:W3CDTF">2025-03-10T07:11:38Z</dcterms:created>
  <dcterms:modified xsi:type="dcterms:W3CDTF">2026-05-28T02:32:08Z</dcterms:modified>
</cp:coreProperties>
</file>